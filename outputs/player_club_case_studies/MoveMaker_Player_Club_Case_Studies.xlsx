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2fb57cd4d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bb505f18f1e4be7"/>
    <x:sheet xmlns:r="http://schemas.openxmlformats.org/officeDocument/2006/relationships" name="Case Explorer" sheetId="2" r:id="R23ca6101287c4769"/>
    <x:sheet xmlns:r="http://schemas.openxmlformats.org/officeDocument/2006/relationships" name="Case Portfolio" sheetId="3" r:id="Rb97f534a0bb84d7f"/>
    <x:sheet xmlns:r="http://schemas.openxmlformats.org/officeDocument/2006/relationships" name="Predictions" sheetId="4" r:id="R089c7f61e53247ea"/>
    <x:sheet xmlns:r="http://schemas.openxmlformats.org/officeDocument/2006/relationships" name="Fit Summary" sheetId="5" r:id="R2c7c2b5b1ee54199"/>
    <x:sheet xmlns:r="http://schemas.openxmlformats.org/officeDocument/2006/relationships" name="Style Profiles" sheetId="6" r:id="R080f152d23b0472a"/>
    <x:sheet xmlns:r="http://schemas.openxmlformats.org/officeDocument/2006/relationships" name="Context Preferences" sheetId="7" r:id="R9c13af6ff9a74914"/>
    <x:sheet xmlns:r="http://schemas.openxmlformats.org/officeDocument/2006/relationships" name="Feature Coverage" sheetId="8" r:id="R926555e1a294411e"/>
    <x:sheet xmlns:r="http://schemas.openxmlformats.org/officeDocument/2006/relationships" name="StatsBomb Supplement" sheetId="9" r:id="Rac2979acba9445c5"/>
    <x:sheet xmlns:r="http://schemas.openxmlformats.org/officeDocument/2006/relationships" name="Category Summary" sheetId="10" r:id="Rec1094e0b18f4509"/>
    <x:sheet xmlns:r="http://schemas.openxmlformats.org/officeDocument/2006/relationships" name="Verification" sheetId="11" r:id="R80b1ff9451564d30"/>
    <x:sheet xmlns:r="http://schemas.openxmlformats.org/officeDocument/2006/relationships" name="Methodology" sheetId="12" r:id="R6991e444fa62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&quot;€&quot;#,##0"/>
    <x:numFmt numFmtId="202" formatCode="0.0%"/>
    <x:numFmt numFmtId="203" formatCode="0.000"/>
    <x:numFmt numFmtId="204" formatCode="0.0"/>
    <x:numFmt numFmtId="205" formatCode="0.00"/>
    <x:numFmt numFmtId="206" formatCode="0"/>
    <x:numFmt numFmtId="207" formatCode="#,##0"/>
  </x:numFmts>
  <x:fonts count="17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5F6B76"/>
      <x:name val="Aptos"/>
    </x:font>
    <x:font>
      <x:b/>
      <x:sz val="10"/>
      <x:color rgb="FFFFFFFF"/>
      <x:name val="Carlito"/>
    </x:font>
    <x:font>
      <x:b/>
      <x:sz val="11"/>
      <x:color rgb="FF276749"/>
      <x:name val="Carlito"/>
    </x:font>
    <x:font>
      <x:b/>
      <x:sz val="11"/>
      <x:color rgb="FF8A4B08"/>
      <x:name val="Carlito"/>
    </x:font>
    <x:font>
      <x:b/>
      <x:sz val="11"/>
      <x:color rgb="FF5B3F8C"/>
      <x:name val="Carlito"/>
    </x:font>
    <x:font>
      <x:b/>
      <x:sz val="11"/>
      <x:color rgb="FF9C2C2C"/>
      <x:name val="Carlito"/>
    </x:font>
    <x:font>
      <x:sz val="11"/>
      <x:color rgb="FF5F6B76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b/>
      <x:sz val="12"/>
      <x:name val="Carlito"/>
    </x:font>
    <x:font>
      <x:sz val="11"/>
      <x:color rgb="FF22313F"/>
      <x:name val="Carlito"/>
    </x:font>
    <x:font>
      <x:b/>
      <x:sz val="18"/>
      <x:color rgb="FF2A9D8F"/>
      <x:name val="Carlito"/>
    </x:font>
    <x:font>
      <x:b/>
      <x:sz val="12"/>
      <x:color rgb="FF8A4B0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EEF2F5"/>
      </x:patternFill>
    </x:fill>
    <x:fill>
      <x:patternFill patternType="solid">
        <x:fgColor rgb="FFFFF2CC"/>
      </x:patternFill>
    </x:fill>
    <x:fill>
      <x:patternFill patternType="solid">
        <x:fgColor rgb="FF2A9D8F"/>
      </x:patternFill>
    </x:fill>
    <x:fill>
      <x:patternFill patternType="solid">
        <x:fgColor rgb="FFFFFFFF"/>
      </x:patternFill>
    </x:fill>
    <x:fill>
      <x:patternFill patternType="solid">
        <x:fgColor rgb="FFF4FBF9"/>
      </x:patternFill>
    </x:fill>
    <x:fill>
      <x:patternFill patternType="solid">
        <x:fgColor rgb="FFFFF9F1"/>
      </x:patternFill>
    </x:fill>
  </x:fills>
  <x:borders count="31">
    <x:border/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</x:border>
    <x:border>
      <x:right style="medium">
        <x:color rgb="FF2F75B5"/>
      </x:right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D7E0E7"/>
      </x:left>
      <x:top style="medium">
        <x:color rgb="FFD7E0E7"/>
      </x:top>
      <x:bottom style="medium">
        <x:color rgb="FFD7E0E7"/>
      </x:bottom>
    </x:border>
    <x:border>
      <x:top style="medium">
        <x:color rgb="FFD7E0E7"/>
      </x:top>
      <x:bottom style="medium">
        <x:color rgb="FFD7E0E7"/>
      </x:bottom>
    </x:border>
    <x:border>
      <x:right style="medium">
        <x:color rgb="FFD7E0E7"/>
      </x:right>
      <x:top style="medium">
        <x:color rgb="FFD7E0E7"/>
      </x:top>
      <x:bottom style="medium">
        <x:color rgb="FFD7E0E7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</x:border>
    <x:border>
      <x:right style="medium">
        <x:color rgb="FF2A9D8F"/>
      </x:right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medium">
        <x:color rgb="FFE6A15A"/>
      </x:left>
      <x:top style="medium">
        <x:color rgb="FFE6A15A"/>
      </x:top>
    </x:border>
    <x:border>
      <x:top style="medium">
        <x:color rgb="FFE6A15A"/>
      </x:top>
    </x:border>
    <x:border>
      <x:right style="medium">
        <x:color rgb="FFE6A15A"/>
      </x:right>
      <x:top style="medium">
        <x:color rgb="FFE6A15A"/>
      </x:top>
    </x:border>
    <x:border>
      <x:left style="medium">
        <x:color rgb="FFE6A15A"/>
      </x:left>
    </x:border>
    <x:border>
      <x:right style="medium">
        <x:color rgb="FFE6A15A"/>
      </x:right>
    </x:border>
    <x:border>
      <x:left style="medium">
        <x:color rgb="FFE6A15A"/>
      </x:left>
      <x:bottom style="medium">
        <x:color rgb="FFE6A15A"/>
      </x:bottom>
    </x:border>
    <x:border>
      <x:bottom style="medium">
        <x:color rgb="FFE6A15A"/>
      </x:bottom>
    </x:border>
    <x:border>
      <x:right style="medium">
        <x:color rgb="FFE6A15A"/>
      </x:right>
      <x:bottom style="medium">
        <x:color rgb="FFE6A15A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201" fontId="0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5" borderId="1" xfId="0" applyNumberFormat="1" applyFont="1" applyFill="1" applyBorder="1"/>
    <x:xf numFmtId="202" fontId="0" fillId="0" borderId="1" xfId="0" applyNumberFormat="1" applyFont="1" applyFill="1" applyBorder="1"/>
    <x:xf numFmtId="203" fontId="0" fillId="5" borderId="1" xfId="0" applyNumberFormat="1" applyFont="1" applyFill="1" applyBorder="1"/>
    <x:xf numFmtId="203" fontId="0" fillId="0" borderId="1" xfId="0" applyNumberFormat="1" applyFont="1" applyFill="1" applyBorder="1"/>
    <x:xf numFmtId="204" fontId="0" fillId="5" borderId="1" xfId="0" applyNumberFormat="1" applyFont="1" applyFill="1" applyBorder="1"/>
    <x:xf numFmtId="204" fontId="0" fillId="0" borderId="1" xfId="0" applyNumberFormat="1" applyFont="1" applyFill="1" applyBorder="1"/>
    <x:xf numFmtId="205" fontId="0" fillId="5" borderId="1" xfId="0" applyNumberFormat="1" applyFont="1" applyFill="1" applyBorder="1"/>
    <x:xf numFmtId="205" fontId="0" fillId="0" borderId="1" xfId="0" applyNumberFormat="1" applyFont="1" applyFill="1" applyBorder="1"/>
    <x:xf numFmtId="206" fontId="0" fillId="5" borderId="1" xfId="0" applyNumberFormat="1" applyFont="1" applyFill="1" applyBorder="1"/>
    <x:xf numFmtId="206" fontId="0" fillId="0" borderId="1" xfId="0" applyNumberFormat="1" applyFont="1" applyFill="1" applyBorder="1"/>
    <x:xf numFmtId="207" fontId="0" fillId="5" borderId="1" xfId="0" applyNumberFormat="1" applyFont="1" applyFill="1" applyBorder="1"/>
    <x:xf numFmtId="207" fontId="0" fillId="0" borderId="1" xfId="0" applyNumberFormat="1" applyFont="1" applyFill="1" applyBorder="1"/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9" fillId="4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2" xfId="0" applyNumberFormat="1" applyFont="1" applyFill="1" applyBorder="1"/>
    <x:xf numFmtId="0" fontId="10" fillId="11" borderId="3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2" fillId="3" borderId="1" xfId="0" applyNumberFormat="1" applyFont="1" applyFill="1" applyBorder="1"/>
    <x:xf numFmtId="0" fontId="11" fillId="4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4" xfId="0" applyNumberFormat="1" applyFont="1" applyFill="1" applyBorder="1"/>
    <x:xf numFmtId="0" fontId="14" fillId="5" borderId="5" xfId="0" applyNumberFormat="1" applyFont="1" applyFill="1" applyBorder="1"/>
    <x:xf numFmtId="0" fontId="14" fillId="5" borderId="6" xfId="0" applyNumberFormat="1" applyFont="1" applyFill="1" applyBorder="1"/>
    <x:xf numFmtId="0" fontId="14" fillId="5" borderId="7" xfId="0" applyNumberFormat="1" applyFont="1" applyFill="1" applyBorder="1"/>
    <x:xf numFmtId="0" fontId="14" fillId="5" borderId="8" xfId="0" applyNumberFormat="1" applyFont="1" applyFill="1" applyBorder="1"/>
    <x:xf numFmtId="0" fontId="14" fillId="5" borderId="9" xfId="0" applyNumberFormat="1" applyFont="1" applyFill="1" applyBorder="1"/>
    <x:xf numFmtId="0" fontId="14" fillId="5" borderId="10" xfId="0" applyNumberFormat="1" applyFont="1" applyFill="1" applyBorder="1"/>
    <x:xf numFmtId="0" fontId="14" fillId="5" borderId="11" xfId="0" applyNumberFormat="1" applyFont="1" applyFill="1" applyBorder="1"/>
    <x:xf numFmtId="0" fontId="14" fillId="5" borderId="4" xfId="0" applyNumberFormat="1" applyFont="1" applyFill="1" applyBorder="1" applyAlignment="1">
      <x:alignment wrapText="1"/>
    </x:xf>
    <x:xf numFmtId="0" fontId="14" fillId="5" borderId="5" xfId="0" applyNumberFormat="1" applyFont="1" applyFill="1" applyBorder="1" applyAlignment="1">
      <x:alignment wrapText="1"/>
    </x:xf>
    <x:xf numFmtId="0" fontId="14" fillId="5" borderId="6" xfId="0" applyNumberFormat="1" applyFont="1" applyFill="1" applyBorder="1" applyAlignment="1">
      <x:alignment wrapText="1"/>
    </x:xf>
    <x:xf numFmtId="0" fontId="14" fillId="5" borderId="7" xfId="0" applyNumberFormat="1" applyFont="1" applyFill="1" applyBorder="1" applyAlignment="1">
      <x:alignment wrapText="1"/>
    </x:xf>
    <x:xf numFmtId="0" fontId="14" fillId="5" borderId="0" xfId="0" applyNumberFormat="1" applyFont="1" applyFill="1" applyBorder="1" applyAlignment="1">
      <x:alignment wrapText="1"/>
    </x:xf>
    <x:xf numFmtId="0" fontId="14" fillId="5" borderId="8" xfId="0" applyNumberFormat="1" applyFont="1" applyFill="1" applyBorder="1" applyAlignment="1">
      <x:alignment wrapText="1"/>
    </x:xf>
    <x:xf numFmtId="0" fontId="14" fillId="5" borderId="9" xfId="0" applyNumberFormat="1" applyFont="1" applyFill="1" applyBorder="1" applyAlignment="1">
      <x:alignment wrapText="1"/>
    </x:xf>
    <x:xf numFmtId="0" fontId="14" fillId="5" borderId="10" xfId="0" applyNumberFormat="1" applyFont="1" applyFill="1" applyBorder="1" applyAlignment="1">
      <x:alignment wrapText="1"/>
    </x:xf>
    <x:xf numFmtId="0" fontId="14" fillId="5" borderId="11" xfId="0" applyNumberFormat="1" applyFont="1" applyFill="1" applyBorder="1" applyAlignment="1">
      <x:alignment wrapText="1"/>
    </x:xf>
    <x:xf numFmtId="0" fontId="14" fillId="5" borderId="4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8" xfId="0" applyNumberFormat="1" applyFont="1" applyFill="1" applyBorder="1" applyAlignment="1">
      <x:alignment vertical="center" wrapText="1"/>
    </x:xf>
    <x:xf numFmtId="0" fontId="14" fillId="5" borderId="9" xfId="0" applyNumberFormat="1" applyFont="1" applyFill="1" applyBorder="1" applyAlignment="1">
      <x:alignment vertical="center" wrapText="1"/>
    </x:xf>
    <x:xf numFmtId="0" fontId="14" fillId="5" borderId="10" xfId="0" applyNumberFormat="1" applyFont="1" applyFill="1" applyBorder="1" applyAlignment="1">
      <x:alignment vertical="center" wrapText="1"/>
    </x:xf>
    <x:xf numFmtId="0" fontId="14" fillId="5" borderId="11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horizontal="center" wrapText="1"/>
    </x:xf>
    <x:xf numFmtId="0" fontId="12" fillId="3" borderId="1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12" xfId="0" applyNumberFormat="1" applyFont="1" applyFill="1" applyBorder="1"/>
    <x:xf numFmtId="0" fontId="15" fillId="13" borderId="13" xfId="0" applyNumberFormat="1" applyFont="1" applyFill="1" applyBorder="1"/>
    <x:xf numFmtId="0" fontId="15" fillId="13" borderId="14" xfId="0" applyNumberFormat="1" applyFont="1" applyFill="1" applyBorder="1"/>
    <x:xf numFmtId="0" fontId="15" fillId="13" borderId="12" xfId="0" applyNumberFormat="1" applyFont="1" applyFill="1" applyBorder="1" applyAlignment="1">
      <x:alignment horizontal="center"/>
    </x:xf>
    <x:xf numFmtId="0" fontId="15" fillId="13" borderId="13" xfId="0" applyNumberFormat="1" applyFont="1" applyFill="1" applyBorder="1" applyAlignment="1">
      <x:alignment horizontal="center"/>
    </x:xf>
    <x:xf numFmtId="0" fontId="15" fillId="13" borderId="1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9" fillId="4" borderId="1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15" xfId="0" applyNumberFormat="1" applyFont="1" applyFill="1" applyBorder="1"/>
    <x:xf numFmtId="0" fontId="14" fillId="14" borderId="16" xfId="0" applyNumberFormat="1" applyFont="1" applyFill="1" applyBorder="1"/>
    <x:xf numFmtId="0" fontId="14" fillId="14" borderId="17" xfId="0" applyNumberFormat="1" applyFont="1" applyFill="1" applyBorder="1"/>
    <x:xf numFmtId="0" fontId="14" fillId="14" borderId="18" xfId="0" applyNumberFormat="1" applyFont="1" applyFill="1" applyBorder="1"/>
    <x:xf numFmtId="0" fontId="14" fillId="14" borderId="19" xfId="0" applyNumberFormat="1" applyFont="1" applyFill="1" applyBorder="1"/>
    <x:xf numFmtId="0" fontId="14" fillId="14" borderId="20" xfId="0" applyNumberFormat="1" applyFont="1" applyFill="1" applyBorder="1"/>
    <x:xf numFmtId="0" fontId="14" fillId="14" borderId="21" xfId="0" applyNumberFormat="1" applyFont="1" applyFill="1" applyBorder="1"/>
    <x:xf numFmtId="0" fontId="14" fillId="14" borderId="22" xfId="0" applyNumberFormat="1" applyFont="1" applyFill="1" applyBorder="1"/>
    <x:xf numFmtId="0" fontId="14" fillId="14" borderId="15" xfId="0" applyNumberFormat="1" applyFont="1" applyFill="1" applyBorder="1" applyAlignment="1">
      <x:alignment wrapText="1"/>
    </x:xf>
    <x:xf numFmtId="0" fontId="14" fillId="14" borderId="16" xfId="0" applyNumberFormat="1" applyFont="1" applyFill="1" applyBorder="1" applyAlignment="1">
      <x:alignment wrapText="1"/>
    </x:xf>
    <x:xf numFmtId="0" fontId="14" fillId="14" borderId="17" xfId="0" applyNumberFormat="1" applyFont="1" applyFill="1" applyBorder="1" applyAlignment="1">
      <x:alignment wrapText="1"/>
    </x:xf>
    <x:xf numFmtId="0" fontId="14" fillId="14" borderId="18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wrapText="1"/>
    </x:xf>
    <x:xf numFmtId="0" fontId="14" fillId="14" borderId="19" xfId="0" applyNumberFormat="1" applyFont="1" applyFill="1" applyBorder="1" applyAlignment="1">
      <x:alignment wrapText="1"/>
    </x:xf>
    <x:xf numFmtId="0" fontId="14" fillId="14" borderId="20" xfId="0" applyNumberFormat="1" applyFont="1" applyFill="1" applyBorder="1" applyAlignment="1">
      <x:alignment wrapText="1"/>
    </x:xf>
    <x:xf numFmtId="0" fontId="14" fillId="14" borderId="21" xfId="0" applyNumberFormat="1" applyFont="1" applyFill="1" applyBorder="1" applyAlignment="1">
      <x:alignment wrapText="1"/>
    </x:xf>
    <x:xf numFmtId="0" fontId="14" fillId="14" borderId="22" xfId="0" applyNumberFormat="1" applyFont="1" applyFill="1" applyBorder="1" applyAlignment="1">
      <x:alignment wrapText="1"/>
    </x:xf>
    <x:xf numFmtId="0" fontId="14" fillId="14" borderId="15" xfId="0" applyNumberFormat="1" applyFont="1" applyFill="1" applyBorder="1" applyAlignment="1">
      <x:alignment vertical="center" wrapText="1"/>
    </x:xf>
    <x:xf numFmtId="0" fontId="14" fillId="14" borderId="16" xfId="0" applyNumberFormat="1" applyFont="1" applyFill="1" applyBorder="1" applyAlignment="1">
      <x:alignment vertical="center" wrapText="1"/>
    </x:xf>
    <x:xf numFmtId="0" fontId="14" fillId="14" borderId="17" xfId="0" applyNumberFormat="1" applyFont="1" applyFill="1" applyBorder="1" applyAlignment="1">
      <x:alignment vertical="center" wrapText="1"/>
    </x:xf>
    <x:xf numFmtId="0" fontId="14" fillId="14" borderId="18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vertical="center" wrapText="1"/>
    </x:xf>
    <x:xf numFmtId="0" fontId="14" fillId="14" borderId="19" xfId="0" applyNumberFormat="1" applyFont="1" applyFill="1" applyBorder="1" applyAlignment="1">
      <x:alignment vertical="center" wrapText="1"/>
    </x:xf>
    <x:xf numFmtId="0" fontId="14" fillId="14" borderId="20" xfId="0" applyNumberFormat="1" applyFont="1" applyFill="1" applyBorder="1" applyAlignment="1">
      <x:alignment vertical="center" wrapText="1"/>
    </x:xf>
    <x:xf numFmtId="0" fontId="14" fillId="14" borderId="21" xfId="0" applyNumberFormat="1" applyFont="1" applyFill="1" applyBorder="1" applyAlignment="1">
      <x:alignment vertical="center" wrapText="1"/>
    </x:xf>
    <x:xf numFmtId="0" fontId="14" fillId="14" borderId="22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23" xfId="0" applyNumberFormat="1" applyFont="1" applyFill="1" applyBorder="1"/>
    <x:xf numFmtId="0" fontId="14" fillId="15" borderId="24" xfId="0" applyNumberFormat="1" applyFont="1" applyFill="1" applyBorder="1"/>
    <x:xf numFmtId="0" fontId="14" fillId="15" borderId="25" xfId="0" applyNumberFormat="1" applyFont="1" applyFill="1" applyBorder="1"/>
    <x:xf numFmtId="0" fontId="14" fillId="15" borderId="26" xfId="0" applyNumberFormat="1" applyFont="1" applyFill="1" applyBorder="1"/>
    <x:xf numFmtId="0" fontId="14" fillId="15" borderId="27" xfId="0" applyNumberFormat="1" applyFont="1" applyFill="1" applyBorder="1"/>
    <x:xf numFmtId="0" fontId="14" fillId="15" borderId="28" xfId="0" applyNumberFormat="1" applyFont="1" applyFill="1" applyBorder="1"/>
    <x:xf numFmtId="0" fontId="14" fillId="15" borderId="29" xfId="0" applyNumberFormat="1" applyFont="1" applyFill="1" applyBorder="1"/>
    <x:xf numFmtId="0" fontId="14" fillId="15" borderId="30" xfId="0" applyNumberFormat="1" applyFont="1" applyFill="1" applyBorder="1"/>
    <x:xf numFmtId="0" fontId="14" fillId="15" borderId="23" xfId="0" applyNumberFormat="1" applyFont="1" applyFill="1" applyBorder="1" applyAlignment="1">
      <x:alignment wrapText="1"/>
    </x:xf>
    <x:xf numFmtId="0" fontId="14" fillId="15" borderId="24" xfId="0" applyNumberFormat="1" applyFont="1" applyFill="1" applyBorder="1" applyAlignment="1">
      <x:alignment wrapText="1"/>
    </x:xf>
    <x:xf numFmtId="0" fontId="14" fillId="15" borderId="25" xfId="0" applyNumberFormat="1" applyFont="1" applyFill="1" applyBorder="1" applyAlignment="1">
      <x:alignment wrapText="1"/>
    </x:xf>
    <x:xf numFmtId="0" fontId="14" fillId="15" borderId="26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wrapText="1"/>
    </x:xf>
    <x:xf numFmtId="0" fontId="14" fillId="15" borderId="27" xfId="0" applyNumberFormat="1" applyFont="1" applyFill="1" applyBorder="1" applyAlignment="1">
      <x:alignment wrapText="1"/>
    </x:xf>
    <x:xf numFmtId="0" fontId="14" fillId="15" borderId="28" xfId="0" applyNumberFormat="1" applyFont="1" applyFill="1" applyBorder="1" applyAlignment="1">
      <x:alignment wrapText="1"/>
    </x:xf>
    <x:xf numFmtId="0" fontId="14" fillId="15" borderId="29" xfId="0" applyNumberFormat="1" applyFont="1" applyFill="1" applyBorder="1" applyAlignment="1">
      <x:alignment wrapText="1"/>
    </x:xf>
    <x:xf numFmtId="0" fontId="14" fillId="15" borderId="30" xfId="0" applyNumberFormat="1" applyFont="1" applyFill="1" applyBorder="1" applyAlignment="1">
      <x:alignment wrapText="1"/>
    </x:xf>
    <x:xf numFmtId="0" fontId="14" fillId="15" borderId="23" xfId="0" applyNumberFormat="1" applyFont="1" applyFill="1" applyBorder="1" applyAlignment="1">
      <x:alignment vertical="center" wrapText="1"/>
    </x:xf>
    <x:xf numFmtId="0" fontId="14" fillId="15" borderId="24" xfId="0" applyNumberFormat="1" applyFont="1" applyFill="1" applyBorder="1" applyAlignment="1">
      <x:alignment vertical="center" wrapText="1"/>
    </x:xf>
    <x:xf numFmtId="0" fontId="14" fillId="15" borderId="25" xfId="0" applyNumberFormat="1" applyFont="1" applyFill="1" applyBorder="1" applyAlignment="1">
      <x:alignment vertical="center" wrapText="1"/>
    </x:xf>
    <x:xf numFmtId="0" fontId="14" fillId="15" borderId="26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 applyAlignment="1">
      <x:alignment vertical="center" wrapText="1"/>
    </x:xf>
    <x:xf numFmtId="0" fontId="14" fillId="15" borderId="27" xfId="0" applyNumberFormat="1" applyFont="1" applyFill="1" applyBorder="1" applyAlignment="1">
      <x:alignment vertical="center" wrapText="1"/>
    </x:xf>
    <x:xf numFmtId="0" fontId="14" fillId="15" borderId="28" xfId="0" applyNumberFormat="1" applyFont="1" applyFill="1" applyBorder="1" applyAlignment="1">
      <x:alignment vertical="center" wrapText="1"/>
    </x:xf>
    <x:xf numFmtId="0" fontId="14" fillId="15" borderId="29" xfId="0" applyNumberFormat="1" applyFont="1" applyFill="1" applyBorder="1" applyAlignment="1">
      <x:alignment vertical="center" wrapText="1"/>
    </x:xf>
    <x:xf numFmtId="0" fontId="14" fillId="15" borderId="3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color rgb="FF276749"/>
      </x:font>
      <x:fill>
        <x:patternFill patternType="solid">
          <x:bgColor rgb="FFD9EAD3"/>
        </x:patternFill>
      </x:fill>
    </x:dxf>
    <x:dxf>
      <x:font>
        <x:color rgb="FF9C2C2C"/>
      </x:font>
      <x:fill>
        <x:patternFill patternType="solid">
          <x:bgColor rgb="FFF4CCCC"/>
        </x:patternFill>
      </x:fill>
    </x:dxf>
    <x:dxf>
      <x:font>
        <x:color rgb="FF276749"/>
      </x:font>
      <x:fill>
        <x:patternFill patternType="solid">
          <x:bgColor rgb="FFD9EAD3"/>
        </x:patternFill>
      </x:fill>
    </x:dxf>
    <x:dxf>
      <x:font>
        <x:color rgb="FF9C2C2C"/>
      </x:font>
      <x:fill>
        <x:patternFill patternType="solid">
          <x:bgColor rgb="FFF4CCCC"/>
        </x:patternFill>
      </x:fill>
    </x:dxf>
    <x:dxf>
      <x:font>
        <x:color rgb="FF276749"/>
      </x:font>
      <x:fill>
        <x:patternFill patternType="solid">
          <x:bgColor rgb="FFD9EAD3"/>
        </x:patternFill>
      </x:fill>
    </x:dxf>
    <x:dxf>
      <x:font>
        <x:color rgb="FF9C2C2C"/>
      </x:font>
      <x:fill>
        <x:patternFill patternType="solid">
          <x:bgColor rgb="FFF4CCCC"/>
        </x:patternFill>
      </x:fill>
    </x:dxf>
    <x:dxf>
      <x:font>
        <x:color rgb="FF276749"/>
      </x:font>
      <x:fill>
        <x:patternFill patternType="solid">
          <x:bgColor rgb="FFD9EAD3"/>
        </x:patternFill>
      </x:fill>
    </x:dxf>
    <x:dxf>
      <x:font>
        <x:color rgb="FF9C2C2C"/>
      </x:font>
      <x:fill>
        <x:patternFill patternType="solid">
          <x:bgColor rgb="FFF4CCCC"/>
        </x:patternFill>
      </x:fill>
    </x:dxf>
    <x:dxf>
      <x:font>
        <x:color rgb="FF276749"/>
      </x:font>
      <x:fill>
        <x:patternFill patternType="solid">
          <x:bgColor rgb="FFD9EAD3"/>
        </x:patternFill>
      </x:fill>
    </x:dxf>
    <x:dxf>
      <x:font>
        <x:color rgb="FF9C2C2C"/>
      </x:font>
      <x:fill>
        <x:patternFill patternType="solid">
          <x:bgColor rgb="FFF4CCCC"/>
        </x:patternFill>
      </x:fill>
    </x:dxf>
    <x:dxf>
      <x:font>
        <x:b/>
        <x:color rgb="FF276749"/>
      </x:font>
      <x:fill>
        <x:patternFill patternType="solid">
          <x:bgColor rgb="FFD9EAD3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5B3F8C"/>
      </x:font>
      <x:fill>
        <x:patternFill patternType="solid">
          <x:bgColor rgb="FFE4DFEC"/>
        </x:patternFill>
      </x:fill>
    </x:dxf>
    <x:dxf>
      <x:font>
        <x:b/>
        <x:color rgb="FF9C2C2C"/>
      </x:font>
      <x:fill>
        <x:patternFill patternType="solid">
          <x:bgColor rgb="FFF4CCCC"/>
        </x:patternFill>
      </x:fill>
    </x:dxf>
    <x:dxf>
      <x:font>
        <x:b/>
        <x:color rgb="FF276749"/>
      </x:font>
      <x:fill>
        <x:patternFill patternType="solid">
          <x:bgColor rgb="FFD9EAD3"/>
        </x:patternFill>
      </x:fill>
    </x:dxf>
    <x:dxf>
      <x:font>
        <x:b/>
        <x:color rgb="FF9C2C2C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74e2201084c5f" /><Relationship Type="http://schemas.openxmlformats.org/officeDocument/2006/relationships/theme" Target="/xl/theme/theme1.xml" Id="R21fc7c5e7ff84292" /><Relationship Type="http://schemas.microsoft.com/office/2022/11/relationships/FeaturePropertyBag" Target="/xl/featurePropertyBag/featurePropertyBag.xml" Id="R3477969473b54c16" /><Relationship Type="http://schemas.openxmlformats.org/officeDocument/2006/relationships/sharedStrings" Target="/xl/sharedStrings.xml" Id="R8689fc9e5abf4232" /><Relationship Type="http://schemas.openxmlformats.org/officeDocument/2006/relationships/worksheet" Target="/xl/worksheets/sheet1.xml" Id="R8bb505f18f1e4be7" /><Relationship Type="http://schemas.openxmlformats.org/officeDocument/2006/relationships/worksheet" Target="/xl/worksheets/sheet2.xml" Id="R23ca6101287c4769" /><Relationship Type="http://schemas.openxmlformats.org/officeDocument/2006/relationships/worksheet" Target="/xl/worksheets/sheet3.xml" Id="Rb97f534a0bb84d7f" /><Relationship Type="http://schemas.openxmlformats.org/officeDocument/2006/relationships/worksheet" Target="/xl/worksheets/sheet4.xml" Id="R089c7f61e53247ea" /><Relationship Type="http://schemas.openxmlformats.org/officeDocument/2006/relationships/worksheet" Target="/xl/worksheets/sheet5.xml" Id="R2c7c2b5b1ee54199" /><Relationship Type="http://schemas.openxmlformats.org/officeDocument/2006/relationships/worksheet" Target="/xl/worksheets/sheet6.xml" Id="R080f152d23b0472a" /><Relationship Type="http://schemas.openxmlformats.org/officeDocument/2006/relationships/worksheet" Target="/xl/worksheets/sheet7.xml" Id="R9c13af6ff9a74914" /><Relationship Type="http://schemas.openxmlformats.org/officeDocument/2006/relationships/worksheet" Target="/xl/worksheets/sheet8.xml" Id="R926555e1a294411e" /><Relationship Type="http://schemas.openxmlformats.org/officeDocument/2006/relationships/worksheet" Target="/xl/worksheets/sheet9.xml" Id="Rac2979acba9445c5" /><Relationship Type="http://schemas.openxmlformats.org/officeDocument/2006/relationships/worksheet" Target="/xl/worksheets/sheet10.xml" Id="Rec1094e0b18f4509" /><Relationship Type="http://schemas.openxmlformats.org/officeDocument/2006/relationships/worksheet" Target="/xl/worksheets/sheet11.xml" Id="R80b1ff9451564d30" /><Relationship Type="http://schemas.openxmlformats.org/officeDocument/2006/relationships/worksheet" Target="/xl/worksheets/sheet12.xml" Id="R6991e444fa624d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86f36b2d124b0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3298f56d9c74a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Diagnostic portfolio composition (cases)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'Executive Summary'!$A$15:$A$19</c:f>
              <c:strCache>
                <c:ptCount val="0"/>
              </c:strCache>
            </c:strRef>
          </c:cat>
          <c:val>
            <c:numRef>
              <c:f>'Executive Summary'!$B$15:$B$19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Pre-move player style vs destination prior-team style (z)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Player z</c:v>
          </c:tx>
          <c:cat>
            <c:strRef>
              <c:f>'Case Explorer'!$A$22:$A$29</c:f>
              <c:strCache>
                <c:ptCount val="0"/>
              </c:strCache>
            </c:strRef>
          </c:cat>
          <c:val>
            <c:numRef>
              <c:f>'Case Explorer'!$B$22:$B$29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Destination z</c:v>
          </c:tx>
          <c:cat>
            <c:strRef>
              <c:f>'Case Explorer'!$A$22:$A$29</c:f>
              <c:strCache>
                <c:ptCount val="0"/>
              </c:strCache>
            </c:strRef>
          </c:cat>
          <c:val>
            <c:numRef>
              <c:f>'Case Explorer'!$C$22:$C$29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86f36b2d124b0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298f56d9c74a5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sePortfolioTable" displayName="CasePortfolioTable" ref="A5:AH17" headerRowCount="1" totalsRowCount="0" totalsRowShown="0">
  <x:autoFilter ref="A5:AH17"/>
  <x:tableColumns count="34">
    <x:tableColumn id="1" name="Case ID"/>
    <x:tableColumn id="2" name="Category"/>
    <x:tableColumn id="3" name="Evidence Status"/>
    <x:tableColumn id="4" name="Player"/>
    <x:tableColumn id="5" name="Origin Club"/>
    <x:tableColumn id="6" name="Destination Club"/>
    <x:tableColumn id="7" name="Role"/>
    <x:tableColumn id="8" name="Competition"/>
    <x:tableColumn id="9" name="Transfer Date"/>
    <x:tableColumn id="10" name="Transfer Type"/>
    <x:tableColumn id="11" name="Fee EUR"/>
    <x:tableColumn id="12" name="Market Value EUR"/>
    <x:tableColumn id="13" name="Fee / Value"/>
    <x:tableColumn id="14" name="Opp Baseline"/>
    <x:tableColumn id="15" name="Opp Compatibility"/>
    <x:tableColumn id="16" name="Opp Lift"/>
    <x:tableColumn id="17" name="Opp Actual"/>
    <x:tableColumn id="18" name="Opp Error Improvement"/>
    <x:tableColumn id="19" name="Opp Hit"/>
    <x:tableColumn id="20" name="Perf Baseline"/>
    <x:tableColumn id="21" name="Perf Compatibility"/>
    <x:tableColumn id="22" name="Perf Lift"/>
    <x:tableColumn id="23" name="Perf Actual"/>
    <x:tableColumn id="24" name="Perf Error Improvement"/>
    <x:tableColumn id="25" name="Perf Hit"/>
    <x:tableColumn id="26" name="Two-Target Hits"/>
    <x:tableColumn id="27" name="Context Familiarity"/>
    <x:tableColumn id="28" name="Preference Fit"/>
    <x:tableColumn id="29" name="Style Similarity"/>
    <x:tableColumn id="30" name="Style Distance"/>
    <x:tableColumn id="31" name="Closest Style"/>
    <x:tableColumn id="32" name="Largest Style Gap"/>
    <x:tableColumn id="33" name="Operational Takeaway"/>
    <x:tableColumn id="34" name="StatsBomb Suppl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dictionsTable" displayName="PredictionsTable" ref="A5:T29" headerRowCount="1" totalsRowCount="0" totalsRowShown="0">
  <x:autoFilter ref="A5:T29"/>
  <x:tableColumns count="20">
    <x:tableColumn id="1" name="Lookup Key"/>
    <x:tableColumn id="2" name="Case ID"/>
    <x:tableColumn id="3" name="Category"/>
    <x:tableColumn id="4" name="Player"/>
    <x:tableColumn id="5" name="Destination"/>
    <x:tableColumn id="6" name="Target"/>
    <x:tableColumn id="7" name="Unit"/>
    <x:tableColumn id="8" name="Candidate Features"/>
    <x:tableColumn id="9" name="Candidate Model"/>
    <x:tableColumn id="10" name="Baseline Prediction"/>
    <x:tableColumn id="11" name="Compatibility Prediction"/>
    <x:tableColumn id="12" name="Compatibility Lift"/>
    <x:tableColumn id="13" name="Realized Outcome"/>
    <x:tableColumn id="14" name="Realized vs Baseline"/>
    <x:tableColumn id="15" name="Baseline Abs Error"/>
    <x:tableColumn id="16" name="Compatibility Abs Error"/>
    <x:tableColumn id="17" name="Error Improvement"/>
    <x:tableColumn id="18" name="Compatibility More Accurate?"/>
    <x:tableColumn id="19" name="Direction Correct?"/>
    <x:tableColumn id="20" name="Outcome Ba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tSummaryTable" displayName="FitSummaryTable" ref="A5:R17" headerRowCount="1" totalsRowCount="0" totalsRowShown="0">
  <x:autoFilter ref="A5:R17"/>
  <x:tableColumns count="18">
    <x:tableColumn id="1" name="Case ID"/>
    <x:tableColumn id="2" name="Player"/>
    <x:tableColumn id="3" name="Destination"/>
    <x:tableColumn id="4" name="Context Familiarity"/>
    <x:tableColumn id="5" name="Familiarity Percentile"/>
    <x:tableColumn id="6" name="Preference Fit"/>
    <x:tableColumn id="7" name="Preference Fit Percentile"/>
    <x:tableColumn id="8" name="Style Similarity"/>
    <x:tableColumn id="9" name="Similarity Percentile"/>
    <x:tableColumn id="10" name="Style Distance"/>
    <x:tableColumn id="11" name="Closeness Percentile"/>
    <x:tableColumn id="12" name="Preference Slope Signal"/>
    <x:tableColumn id="13" name="Closest Style"/>
    <x:tableColumn id="14" name="Largest Style Gap"/>
    <x:tableColumn id="15" name="Closest Preference Context"/>
    <x:tableColumn id="16" name="Largest Preference Gap"/>
    <x:tableColumn id="17" name="Strongest Historical Axes"/>
    <x:tableColumn id="18" name="Fit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yleProfilesTable" displayName="StyleProfilesTable" ref="A5:K101" headerRowCount="1" totalsRowCount="0" totalsRowShown="0">
  <x:autoFilter ref="A5:K101"/>
  <x:tableColumns count="11">
    <x:tableColumn id="1" name="Lookup Key"/>
    <x:tableColumn id="2" name="Case ID"/>
    <x:tableColumn id="3" name="Player"/>
    <x:tableColumn id="4" name="Destination"/>
    <x:tableColumn id="5" name="Style Dimension"/>
    <x:tableColumn id="6" name="Style Label"/>
    <x:tableColumn id="7" name="Player Rolling-3 z"/>
    <x:tableColumn id="8" name="Destination Prior-Team z"/>
    <x:tableColumn id="9" name="Player - Team Gap"/>
    <x:tableColumn id="10" name="Absolute Gap"/>
    <x:tableColumn id="11" name="Align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xtPreferencesTable" displayName="ContextPreferencesTable" ref="A5:N77" headerRowCount="1" totalsRowCount="0" totalsRowShown="0">
  <x:autoFilter ref="A5:N77"/>
  <x:tableColumns count="14">
    <x:tableColumn id="1" name="Lookup Key"/>
    <x:tableColumn id="2" name="Case ID"/>
    <x:tableColumn id="3" name="Player"/>
    <x:tableColumn id="4" name="Destination"/>
    <x:tableColumn id="5" name="Context Dimension"/>
    <x:tableColumn id="6" name="Context Label"/>
    <x:tableColumn id="7" name="Destination Prior Context z"/>
    <x:tableColumn id="8" name="Historical Exposure z"/>
    <x:tableColumn id="9" name="Performance-Weighted Preferred z"/>
    <x:tableColumn id="10" name="Shrunken Performance Slope"/>
    <x:tableColumn id="11" name="Familiarity Distance"/>
    <x:tableColumn id="12" name="Preference Distance"/>
    <x:tableColumn id="13" name="Context × Slope"/>
    <x:tableColumn id="14" name="Historical Dire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CoverageTable" displayName="FeatureCoverageTable" ref="A5:N17" headerRowCount="1" totalsRowCount="0" totalsRowShown="0">
  <x:autoFilter ref="A5:N17"/>
  <x:tableColumns count="14">
    <x:tableColumn id="1" name="Case ID"/>
    <x:tableColumn id="2" name="Player"/>
    <x:tableColumn id="3" name="Destination"/>
    <x:tableColumn id="4" name="Rolling-3 Seasons"/>
    <x:tableColumn id="5" name="Preference Seasons"/>
    <x:tableColumn id="6" name="Preference Minutes"/>
    <x:tableColumn id="7" name="Prior-Team Players"/>
    <x:tableColumn id="8" name="Prior-Team Minutes"/>
    <x:tableColumn id="9" name="Player Max Source Season"/>
    <x:tableColumn id="10" name="Preference Max Source Season"/>
    <x:tableColumn id="11" name="Club Context Source Season"/>
    <x:tableColumn id="12" name="Target Season"/>
    <x:tableColumn id="13" name="Timing Safe?"/>
    <x:tableColumn id="14" name="Timing Assess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sBombSupplementTable" displayName="StatsBombSupplementTable" ref="A5:P17" headerRowCount="1" totalsRowCount="0" totalsRowShown="0">
  <x:autoFilter ref="A5:P17"/>
  <x:tableColumns count="16">
    <x:tableColumn id="1" name="Case ID"/>
    <x:tableColumn id="2" name="Player"/>
    <x:tableColumn id="3" name="Origin Club"/>
    <x:tableColumn id="4" name="Destination Club"/>
    <x:tableColumn id="5" name="StatsBomb Player ID"/>
    <x:tableColumn id="6" name="Origin Team ID"/>
    <x:tableColumn id="7" name="Destination Team ID"/>
    <x:tableColumn id="8" name="Player Matches Pre-365"/>
    <x:tableColumn id="9" name="Player Matches Post-365"/>
    <x:tableColumn id="10" name="Origin Matches Pre-365"/>
    <x:tableColumn id="11" name="Destination Matches Pre-365"/>
    <x:tableColumn id="12" name="Suggested Use"/>
    <x:tableColumn id="13" name="Country Agreement"/>
    <x:tableColumn id="14" name="Link Method"/>
    <x:tableColumn id="15" name="Manual Review"/>
    <x:tableColumn id="16" name="Evidence Polic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tegorySummaryTable" displayName="CategorySummaryTable" ref="A5:H10" headerRowCount="1" totalsRowCount="0" totalsRowShown="0">
  <x:autoFilter ref="A5:H10"/>
  <x:tableColumns count="8">
    <x:tableColumn id="1" name="Category Code"/>
    <x:tableColumn id="2" name="Category"/>
    <x:tableColumn id="3" name="Cases"/>
    <x:tableColumn id="4" name="Opportunity Hits"/>
    <x:tableColumn id="5" name="Performance Hits"/>
    <x:tableColumn id="6" name="Mean Opportunity Lift"/>
    <x:tableColumn id="7" name="Mean Performance Lift"/>
    <x:tableColumn id="8" name="Mean Two-Target Error Improve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erificationTable" displayName="VerificationTable" ref="A5:F17" headerRowCount="1" totalsRowCount="0" totalsRowShown="0">
  <x:autoFilter ref="A5:F17"/>
  <x:tableColumns count="6">
    <x:tableColumn id="1" name="Check"/>
    <x:tableColumn id="2" name="Severity"/>
    <x:tableColumn id="3" name="Passed"/>
    <x:tableColumn id="4" name="Observed"/>
    <x:tableColumn id="5" name="Expected"/>
    <x:tableColumn id="6" name="Detai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hodologyTable" displayName="MethodologyTable" ref="A5:D23" headerRowCount="1" totalsRowCount="0" totalsRowShown="0">
  <x:autoFilter ref="A5:D23"/>
  <x:tableColumns count="4">
    <x:tableColumn id="1" name="Section"/>
    <x:tableColumn id="2" name="Item"/>
    <x:tableColumn id="3" name="Definition"/>
    <x:tableColumn id="4" name="Declared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89cc41c70c4a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19c71072a8f4e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6f4d6db823d43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5265887469847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a7bef5612c8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76ddff4a0c142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0e5df22a8b4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46aa0cf104742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641721d20044a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fca221a5d884a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b69462c99041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ab679edb7f4a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3" hidden="0" customWidth="1"/>
    <x:col min="4" max="4" width="3" hidden="0" customWidth="1"/>
    <x:col min="5" max="5" width="12" hidden="0" customWidth="1"/>
    <x:col min="6" max="6" width="25" hidden="0" customWidth="1"/>
    <x:col min="7" max="7" width="2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3" customHeight="1">
      <x:c r="A1" s="3" t="str">
        <x:v>MoveMaker player-club case studies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A balanced historical audit of how destination compatibility changed frozen forecasts—and when those changes did or did not match realized outcomes.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68" t="str">
        <x:v>Portfolio at a glance</x:v>
      </x:c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</x:row>
    <x:row r="7">
      <x:c r="A7" s="104" t="str">
        <x:v>Mature dual-target cohort</x:v>
      </x:c>
      <x:c r="B7" s="104"/>
      <x:c r="C7" s="104"/>
      <x:c r="E7" s="104" t="str">
        <x:v>Selected cases</x:v>
      </x:c>
      <x:c r="F7" s="104"/>
      <x:c r="G7" s="104"/>
      <x:c r="I7" s="104" t="str">
        <x:v>Validated-direction cases</x:v>
      </x:c>
      <x:c r="J7" s="104"/>
      <x:c r="K7" s="104"/>
    </x:row>
    <x:row r="8">
      <x:c r="A8" s="110" t="n">
        <x:v>124</x:v>
      </x:c>
      <x:c r="B8" s="111"/>
      <x:c r="C8" s="112"/>
      <x:c r="E8" s="110" t="n">
        <x:f>COUNTA('Case Portfolio'!$A$6:$A$17)</x:f>
        <x:v>12</x:v>
      </x:c>
      <x:c r="F8" s="111"/>
      <x:c r="G8" s="112"/>
      <x:c r="I8" s="110" t="n">
        <x:f>COUNTIF('Case Portfolio'!$C$6:$C$17,"Retrospectively Validated Direction")</x:f>
        <x:v>7</x:v>
      </x:c>
      <x:c r="J8" s="111"/>
      <x:c r="K8" s="112"/>
    </x:row>
    <x:row r="10">
      <x:c r="A10" s="104" t="str">
        <x:v>Documented model failures</x:v>
      </x:c>
      <x:c r="B10" s="104"/>
      <x:c r="C10" s="104"/>
      <x:c r="E10" s="104" t="str">
        <x:v>StatsBomb supplements</x:v>
      </x:c>
      <x:c r="F10" s="104"/>
      <x:c r="G10" s="104"/>
      <x:c r="I10" s="104" t="str">
        <x:v>Independent checks passed</x:v>
      </x:c>
      <x:c r="J10" s="104"/>
      <x:c r="K10" s="104"/>
    </x:row>
    <x:row r="11">
      <x:c r="A11" s="110" t="n">
        <x:f>COUNTIF('Case Portfolio'!$C$6:$C$17,"Documented Model Failure")</x:f>
        <x:v>5</x:v>
      </x:c>
      <x:c r="B11" s="111"/>
      <x:c r="C11" s="112"/>
      <x:c r="E11" s="110" t="n">
        <x:f>COUNTA('StatsBomb Supplement'!$E$6:$E$17)</x:f>
        <x:v>3</x:v>
      </x:c>
      <x:c r="F11" s="111"/>
      <x:c r="G11" s="112"/>
      <x:c r="I11" s="110" t="n">
        <x:f>COUNTA('Verification'!$A$6:$A$17)</x:f>
        <x:v>12</x:v>
      </x:c>
      <x:c r="J11" s="111"/>
      <x:c r="K11" s="112"/>
    </x:row>
    <x:row r="14">
      <x:c r="A14" s="121" t="str">
        <x:v>Category</x:v>
      </x:c>
      <x:c r="B14" s="121" t="str">
        <x:v>Cases</x:v>
      </x:c>
      <x:c r="C14" s="121" t="str">
        <x:v>Meaning</x:v>
      </x:c>
    </x:row>
    <x:row r="15">
      <x:c r="A15" s="50" t="str">
        <x:f>'Category Summary'!B6</x:f>
        <x:v>Confirmed positive fit</x:v>
      </x:c>
      <x:c r="B15" s="15" t="n">
        <x:f>'Category Summary'!C6</x:f>
        <x:v>2</x:v>
      </x:c>
      <x:c r="C15" s="20" t="str">
        <x:v>Both forecasts raised and improved</x:v>
      </x:c>
    </x:row>
    <x:row r="16">
      <x:c r="A16" s="52" t="str">
        <x:f>'Category Summary'!B7</x:f>
        <x:v>Confirmed compatibility warning</x:v>
      </x:c>
      <x:c r="B16" s="15" t="n">
        <x:f>'Category Summary'!C7</x:f>
        <x:v>3</x:v>
      </x:c>
      <x:c r="C16" s="20" t="str">
        <x:v>Both forecasts lowered and improved</x:v>
      </x:c>
    </x:row>
    <x:row r="17">
      <x:c r="A17" s="54" t="str">
        <x:f>'Category Summary'!B8</x:f>
        <x:v>Validated target trade-off</x:v>
      </x:c>
      <x:c r="B17" s="15" t="n">
        <x:f>'Category Summary'!C8</x:f>
        <x:v>2</x:v>
      </x:c>
      <x:c r="C17" s="20" t="str">
        <x:v>Usage and performance split correctly</x:v>
      </x:c>
    </x:row>
    <x:row r="18">
      <x:c r="A18" s="56" t="str">
        <x:f>'Category Summary'!B9</x:f>
        <x:v>False-positive compatibility signal</x:v>
      </x:c>
      <x:c r="B18" s="15" t="n">
        <x:f>'Category Summary'!C9</x:f>
        <x:v>2</x:v>
      </x:c>
      <x:c r="C18" s="20" t="str">
        <x:v>Both forecasts raised but worsened</x:v>
      </x:c>
    </x:row>
    <x:row r="19">
      <x:c r="A19" s="56" t="str">
        <x:f>'Category Summary'!B10</x:f>
        <x:v>False-negative compatibility warning</x:v>
      </x:c>
      <x:c r="B19" s="15" t="n">
        <x:f>'Category Summary'!C10</x:f>
        <x:v>3</x:v>
      </x:c>
      <x:c r="C19" s="20" t="str">
        <x:v>Both forecasts lowered but worsened</x:v>
      </x:c>
    </x:row>
    <x:row r="22">
      <x:c r="A22" s="63" t="str">
        <x:v>What these cases establish</x:v>
      </x:c>
      <x:c r="B22" s="63"/>
      <x:c r="C22" s="63"/>
    </x:row>
    <x:row r="23" ht="25" customHeight="1">
      <x:c r="A23" s="141" t="str">
        <x:v>The compatibility layer can add club-specific information beyond a player-history forecast: it correctly identified two dual-target positive fits, three dual-target warnings, and two opportunity-versus-performance trade-offs. The five deliberately selected failure cases are equally important: they show that descriptive fit scores and forecast lifts must be paired with uncertainty, scouting judgment, and scenario comparison—not treated as deterministic truth.</x:v>
      </x:c>
      <x:c r="B23" s="142"/>
      <x:c r="C23" s="143"/>
    </x:row>
    <x:row r="24" ht="25" customHeight="1">
      <x:c r="A24" s="144"/>
      <x:c r="B24" s="145"/>
      <x:c r="C24" s="146"/>
    </x:row>
    <x:row r="25" ht="25" customHeight="1">
      <x:c r="A25" s="144"/>
      <x:c r="B25" s="145"/>
      <x:c r="C25" s="146"/>
    </x:row>
    <x:row r="26" ht="25" customHeight="1">
      <x:c r="A26" s="144"/>
      <x:c r="B26" s="145"/>
      <x:c r="C26" s="146"/>
    </x:row>
    <x:row r="27" ht="25" customHeight="1">
      <x:c r="A27" s="144"/>
      <x:c r="B27" s="145"/>
      <x:c r="C27" s="146"/>
    </x:row>
    <x:row r="28" ht="25" customHeight="1">
      <x:c r="A28" s="147"/>
      <x:c r="B28" s="148"/>
      <x:c r="C28" s="149"/>
    </x:row>
    <x:row r="30">
      <x:c r="A30" s="150" t="str">
        <x:v>Critical interpretation boundary</x:v>
      </x:c>
      <x:c r="B30" s="150"/>
      <x:c r="C30" s="150"/>
      <x:c r="E30" s="68" t="str">
        <x:v>Case portfolio</x:v>
      </x:c>
      <x:c r="F30" s="68"/>
      <x:c r="G30" s="68"/>
      <x:c r="H30" s="68"/>
      <x:c r="I30" s="68"/>
      <x:c r="J30" s="68"/>
      <x:c r="K30" s="68"/>
      <x:c r="L30" s="68"/>
      <x:c r="M30" s="68"/>
      <x:c r="N30" s="68"/>
    </x:row>
    <x:row r="31" ht="25" customHeight="1">
      <x:c r="A31" s="170" t="str">
        <x:v>The 12 cases are intentionally stratified across successes and failures. Their hit share is not a model accuracy estimate. Style and preference diagnostics are pre-move descriptions, not causal explanations or exact feature contributions. StatsBomb detail is supplementary and identity-review constrained.</x:v>
      </x:c>
      <x:c r="B31" s="171"/>
      <x:c r="C31" s="172"/>
      <x:c r="E31" s="67" t="str">
        <x:v>Case</x:v>
      </x:c>
      <x:c r="F31" s="67" t="str">
        <x:v>Player</x:v>
      </x:c>
      <x:c r="G31" s="67" t="str">
        <x:v>Destination</x:v>
      </x:c>
      <x:c r="H31" s="67" t="str">
        <x:v>Category</x:v>
      </x:c>
      <x:c r="I31" s="15"/>
      <x:c r="J31" s="15"/>
      <x:c r="K31" s="15"/>
      <x:c r="L31" s="15"/>
      <x:c r="M31" s="15"/>
      <x:c r="N31" s="15"/>
    </x:row>
    <x:row r="32" ht="25" customHeight="1">
      <x:c r="A32" s="173"/>
      <x:c r="B32" s="174"/>
      <x:c r="C32" s="175"/>
      <x:c r="E32" s="15" t="str">
        <x:f>'Case Portfolio'!A6</x:f>
        <x:v>case_01</x:v>
      </x:c>
      <x:c r="F32" s="15" t="str">
        <x:f>'Case Portfolio'!D6</x:f>
        <x:v>Craig Dawson</x:v>
      </x:c>
      <x:c r="G32" s="15" t="str">
        <x:f>'Case Portfolio'!F6</x:f>
        <x:v>West Ham United</x:v>
      </x:c>
      <x:c r="H32" s="50" t="str">
        <x:f>'Case Portfolio'!B6</x:f>
        <x:v>Confirmed positive fit</x:v>
      </x:c>
      <x:c r="I32" s="50"/>
      <x:c r="J32" s="50"/>
      <x:c r="K32" s="50"/>
      <x:c r="L32" s="50"/>
      <x:c r="M32" s="50"/>
      <x:c r="N32" s="50"/>
    </x:row>
    <x:row r="33" ht="25" customHeight="1">
      <x:c r="A33" s="173"/>
      <x:c r="B33" s="174"/>
      <x:c r="C33" s="175"/>
      <x:c r="E33" s="15" t="str">
        <x:f>'Case Portfolio'!A7</x:f>
        <x:v>case_02</x:v>
      </x:c>
      <x:c r="F33" s="15" t="str">
        <x:f>'Case Portfolio'!D7</x:f>
        <x:v>Óscar Rodríguez Arnaiz</x:v>
      </x:c>
      <x:c r="G33" s="15" t="str">
        <x:f>'Case Portfolio'!F7</x:f>
        <x:v>Celta de Vigo</x:v>
      </x:c>
      <x:c r="H33" s="50" t="str">
        <x:f>'Case Portfolio'!B7</x:f>
        <x:v>Confirmed positive fit</x:v>
      </x:c>
      <x:c r="I33" s="50"/>
      <x:c r="J33" s="50"/>
      <x:c r="K33" s="50"/>
      <x:c r="L33" s="50"/>
      <x:c r="M33" s="50"/>
      <x:c r="N33" s="50"/>
    </x:row>
    <x:row r="34" ht="25" customHeight="1">
      <x:c r="A34" s="173"/>
      <x:c r="B34" s="174"/>
      <x:c r="C34" s="175"/>
      <x:c r="E34" s="15" t="str">
        <x:f>'Case Portfolio'!A8</x:f>
        <x:v>case_03</x:v>
      </x:c>
      <x:c r="F34" s="15" t="str">
        <x:f>'Case Portfolio'!D8</x:f>
        <x:v>Jorge Meré</x:v>
      </x:c>
      <x:c r="G34" s="15" t="str">
        <x:f>'Case Portfolio'!F8</x:f>
        <x:v>Cádiz CF</x:v>
      </x:c>
      <x:c r="H34" s="52" t="str">
        <x:f>'Case Portfolio'!B8</x:f>
        <x:v>Confirmed compatibility warning</x:v>
      </x:c>
      <x:c r="I34" s="52"/>
      <x:c r="J34" s="52"/>
      <x:c r="K34" s="52"/>
      <x:c r="L34" s="52"/>
      <x:c r="M34" s="52"/>
      <x:c r="N34" s="52"/>
    </x:row>
    <x:row r="35" ht="25" customHeight="1">
      <x:c r="A35" s="176"/>
      <x:c r="B35" s="177"/>
      <x:c r="C35" s="178"/>
      <x:c r="E35" s="15" t="str">
        <x:f>'Case Portfolio'!A9</x:f>
        <x:v>case_04</x:v>
      </x:c>
      <x:c r="F35" s="15" t="str">
        <x:f>'Case Portfolio'!D9</x:f>
        <x:v>Keita Baldé</x:v>
      </x:c>
      <x:c r="G35" s="15" t="str">
        <x:f>'Case Portfolio'!F9</x:f>
        <x:v>Cagliari Calcio</x:v>
      </x:c>
      <x:c r="H35" s="52" t="str">
        <x:f>'Case Portfolio'!B9</x:f>
        <x:v>Confirmed compatibility warning</x:v>
      </x:c>
      <x:c r="I35" s="52"/>
      <x:c r="J35" s="52"/>
      <x:c r="K35" s="52"/>
      <x:c r="L35" s="52"/>
      <x:c r="M35" s="52"/>
      <x:c r="N35" s="52"/>
    </x:row>
    <x:row r="36">
      <x:c r="E36" s="15" t="str">
        <x:f>'Case Portfolio'!A10</x:f>
        <x:v>case_05</x:v>
      </x:c>
      <x:c r="F36" s="15" t="str">
        <x:f>'Case Portfolio'!D10</x:f>
        <x:v>Philippe Coutinho</x:v>
      </x:c>
      <x:c r="G36" s="15" t="str">
        <x:f>'Case Portfolio'!F10</x:f>
        <x:v>Aston Villa</x:v>
      </x:c>
      <x:c r="H36" s="52" t="str">
        <x:f>'Case Portfolio'!B10</x:f>
        <x:v>Confirmed compatibility warning</x:v>
      </x:c>
      <x:c r="I36" s="52"/>
      <x:c r="J36" s="52"/>
      <x:c r="K36" s="52"/>
      <x:c r="L36" s="52"/>
      <x:c r="M36" s="52"/>
      <x:c r="N36" s="52"/>
    </x:row>
    <x:row r="37">
      <x:c r="E37" s="15" t="str">
        <x:f>'Case Portfolio'!A11</x:f>
        <x:v>case_06</x:v>
      </x:c>
      <x:c r="F37" s="15" t="str">
        <x:f>'Case Portfolio'!D11</x:f>
        <x:v>Faride Alidou</x:v>
      </x:c>
      <x:c r="G37" s="15" t="str">
        <x:f>'Case Portfolio'!F11</x:f>
        <x:v>1.FC Köln</x:v>
      </x:c>
      <x:c r="H37" s="54" t="str">
        <x:f>'Case Portfolio'!B11</x:f>
        <x:v>Validated target trade-off</x:v>
      </x:c>
      <x:c r="I37" s="54"/>
      <x:c r="J37" s="54"/>
      <x:c r="K37" s="54"/>
      <x:c r="L37" s="54"/>
      <x:c r="M37" s="54"/>
      <x:c r="N37" s="54"/>
    </x:row>
    <x:row r="38">
      <x:c r="E38" s="15" t="str">
        <x:f>'Case Portfolio'!A12</x:f>
        <x:v>case_07</x:v>
      </x:c>
      <x:c r="F38" s="15" t="str">
        <x:f>'Case Portfolio'!D12</x:f>
        <x:v>Oriol Romeu</x:v>
      </x:c>
      <x:c r="G38" s="15" t="str">
        <x:f>'Case Portfolio'!F12</x:f>
        <x:v>FC Barcelona</x:v>
      </x:c>
      <x:c r="H38" s="54" t="str">
        <x:f>'Case Portfolio'!B12</x:f>
        <x:v>Validated target trade-off</x:v>
      </x:c>
      <x:c r="I38" s="54"/>
      <x:c r="J38" s="54"/>
      <x:c r="K38" s="54"/>
      <x:c r="L38" s="54"/>
      <x:c r="M38" s="54"/>
      <x:c r="N38" s="54"/>
    </x:row>
    <x:row r="39">
      <x:c r="E39" s="15" t="str">
        <x:f>'Case Portfolio'!A13</x:f>
        <x:v>case_08</x:v>
      </x:c>
      <x:c r="F39" s="15" t="str">
        <x:f>'Case Portfolio'!D13</x:f>
        <x:v>Aridane Hernández</x:v>
      </x:c>
      <x:c r="G39" s="15" t="str">
        <x:f>'Case Portfolio'!F13</x:f>
        <x:v>Rayo Vallecano</x:v>
      </x:c>
      <x:c r="H39" s="56" t="str">
        <x:f>'Case Portfolio'!B13</x:f>
        <x:v>False-positive compatibility signal</x:v>
      </x:c>
      <x:c r="I39" s="56"/>
      <x:c r="J39" s="56"/>
      <x:c r="K39" s="56"/>
      <x:c r="L39" s="56"/>
      <x:c r="M39" s="56"/>
      <x:c r="N39" s="56"/>
    </x:row>
    <x:row r="40">
      <x:c r="E40" s="15" t="str">
        <x:f>'Case Portfolio'!A14</x:f>
        <x:v>case_09</x:v>
      </x:c>
      <x:c r="F40" s="15" t="str">
        <x:f>'Case Portfolio'!D14</x:f>
        <x:v>Yayah Kallon</x:v>
      </x:c>
      <x:c r="G40" s="15" t="str">
        <x:f>'Case Portfolio'!F14</x:f>
        <x:v>Hellas Verona</x:v>
      </x:c>
      <x:c r="H40" s="56" t="str">
        <x:f>'Case Portfolio'!B14</x:f>
        <x:v>False-positive compatibility signal</x:v>
      </x:c>
      <x:c r="I40" s="56"/>
      <x:c r="J40" s="56"/>
      <x:c r="K40" s="56"/>
      <x:c r="L40" s="56"/>
      <x:c r="M40" s="56"/>
      <x:c r="N40" s="56"/>
    </x:row>
    <x:row r="41">
      <x:c r="E41" s="15" t="str">
        <x:f>'Case Portfolio'!A15</x:f>
        <x:v>case_10</x:v>
      </x:c>
      <x:c r="F41" s="15" t="str">
        <x:f>'Case Portfolio'!D15</x:f>
        <x:v>Lucas Perrin</x:v>
      </x:c>
      <x:c r="G41" s="15" t="str">
        <x:f>'Case Portfolio'!F15</x:f>
        <x:v>RC Strasbourg Alsace</x:v>
      </x:c>
      <x:c r="H41" s="56" t="str">
        <x:f>'Case Portfolio'!B15</x:f>
        <x:v>False-negative compatibility warning</x:v>
      </x:c>
      <x:c r="I41" s="56"/>
      <x:c r="J41" s="56"/>
      <x:c r="K41" s="56"/>
      <x:c r="L41" s="56"/>
      <x:c r="M41" s="56"/>
      <x:c r="N41" s="56"/>
    </x:row>
    <x:row r="42">
      <x:c r="E42" s="15" t="str">
        <x:f>'Case Portfolio'!A16</x:f>
        <x:v>case_11</x:v>
      </x:c>
      <x:c r="F42" s="15" t="str">
        <x:f>'Case Portfolio'!D16</x:f>
        <x:v>Gaëtan Laborde</x:v>
      </x:c>
      <x:c r="G42" s="15" t="str">
        <x:f>'Case Portfolio'!F16</x:f>
        <x:v>OGC Nice</x:v>
      </x:c>
      <x:c r="H42" s="56" t="str">
        <x:f>'Case Portfolio'!B16</x:f>
        <x:v>False-negative compatibility warning</x:v>
      </x:c>
      <x:c r="I42" s="56"/>
      <x:c r="J42" s="56"/>
      <x:c r="K42" s="56"/>
      <x:c r="L42" s="56"/>
      <x:c r="M42" s="56"/>
      <x:c r="N42" s="56"/>
    </x:row>
    <x:row r="43">
      <x:c r="E43" s="15" t="str">
        <x:f>'Case Portfolio'!A17</x:f>
        <x:v>case_12</x:v>
      </x:c>
      <x:c r="F43" s="15" t="str">
        <x:f>'Case Portfolio'!D17</x:f>
        <x:v>Antonio Candreva</x:v>
      </x:c>
      <x:c r="G43" s="15" t="str">
        <x:f>'Case Portfolio'!F17</x:f>
        <x:v>US Salernitana 1919</x:v>
      </x:c>
      <x:c r="H43" s="56" t="str">
        <x:f>'Case Portfolio'!B17</x:f>
        <x:v>False-negative compatibility warning</x:v>
      </x:c>
      <x:c r="I43" s="56"/>
      <x:c r="J43" s="56"/>
      <x:c r="K43" s="56"/>
      <x:c r="L43" s="56"/>
      <x:c r="M43" s="56"/>
      <x:c r="N43" s="56"/>
    </x:row>
  </x:sheetData>
  <x:mergeCells>
    <x:mergeCell ref="A1:N2"/>
    <x:mergeCell ref="A3:N3"/>
    <x:mergeCell ref="A5:N5"/>
    <x:mergeCell ref="A7:C7"/>
    <x:mergeCell ref="A8:C8"/>
    <x:mergeCell ref="E7:G7"/>
    <x:mergeCell ref="E8:G8"/>
    <x:mergeCell ref="I7:K7"/>
    <x:mergeCell ref="I8:K8"/>
    <x:mergeCell ref="A10:C10"/>
    <x:mergeCell ref="A11:C11"/>
    <x:mergeCell ref="E10:G10"/>
    <x:mergeCell ref="E11:G11"/>
    <x:mergeCell ref="I10:K10"/>
    <x:mergeCell ref="I11:K11"/>
    <x:mergeCell ref="A22:C22"/>
    <x:mergeCell ref="A23:C28"/>
    <x:mergeCell ref="A30:C30"/>
    <x:mergeCell ref="A31:C35"/>
    <x:mergeCell ref="E30:N30"/>
    <x:mergeCell ref="H32:N32"/>
    <x:mergeCell ref="H33:N33"/>
    <x:mergeCell ref="H34:N34"/>
    <x:mergeCell ref="H35:N35"/>
    <x:mergeCell ref="H36:N36"/>
    <x:mergeCell ref="H37:N37"/>
    <x:mergeCell ref="H38:N38"/>
    <x:mergeCell ref="H39:N39"/>
    <x:mergeCell ref="H40:N40"/>
    <x:mergeCell ref="H41:N41"/>
    <x:mergeCell ref="H42:N42"/>
    <x:mergeCell ref="H43:N43"/>
  </x:mergeCells>
  <x:pageMargins left="0.7" right="0.7" top="0.75" bottom="0.75" header="0.3" footer="0.3"/>
  <x:drawing xmlns:r="http://schemas.openxmlformats.org/officeDocument/2006/relationships" r:id="R7689cc41c70c4a5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3" customHeight="1">
      <x:c r="A1" s="3" t="str">
        <x:v>Interactive player-club case explorer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Choose a case ID to inspect the transfer, frozen dual-target forecasts, realized outcomes, player/team style alignment, and historical context preferences.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57" t="str">
        <x:v>Selected Case ID</x:v>
      </x:c>
      <x:c r="B4" s="60" t="str">
        <x:v>case_01</x:v>
      </x:c>
      <x:c r="C4" s="61"/>
    </x:row>
    <x:row r="6">
      <x:c r="A6" s="63" t="str">
        <x:v>Transfer profile</x:v>
      </x:c>
      <x:c r="B6" s="63"/>
      <x:c r="C6" s="63"/>
      <x:c r="D6" s="63"/>
      <x:c r="F6" s="68" t="str">
        <x:v>Case interpretation</x:v>
      </x:c>
      <x:c r="G6" s="68"/>
      <x:c r="H6" s="68"/>
      <x:c r="I6" s="68"/>
      <x:c r="J6" s="68"/>
      <x:c r="K6" s="68"/>
      <x:c r="L6" s="68"/>
      <x:c r="M6" s="68"/>
      <x:c r="N6" s="68"/>
    </x:row>
    <x:row r="7">
      <x:c r="A7" s="67" t="str">
        <x:v>Player</x:v>
      </x:c>
      <x:c r="B7" s="15" t="str">
        <x:f>INDEX('Case Portfolio'!$D$6:$D$17,MATCH($B$4,'Case Portfolio'!$A$6:$A$17,0))</x:f>
        <x:v>Craig Dawson</x:v>
      </x:c>
      <x:c r="C7" s="15"/>
      <x:c r="D7" s="15"/>
      <x:c r="F7" s="70" t="str">
        <x:f>INDEX('Case Portfolio'!$B$6:$B$17,MATCH($B$4,'Case Portfolio'!$A$6:$A$17,0))</x:f>
        <x:v>Confirmed positive fit</x:v>
      </x:c>
      <x:c r="G7" s="70"/>
      <x:c r="H7" s="70"/>
      <x:c r="I7" s="70"/>
      <x:c r="J7" s="70"/>
      <x:c r="K7" s="70"/>
      <x:c r="L7" s="70"/>
      <x:c r="M7" s="70"/>
      <x:c r="N7" s="70"/>
    </x:row>
    <x:row r="8" ht="24" customHeight="1">
      <x:c r="A8" s="67" t="str">
        <x:v>Route</x:v>
      </x:c>
      <x:c r="B8" s="15" t="str">
        <x:f>INDEX('Case Portfolio'!$E$6:$E$17,MATCH($B$4,'Case Portfolio'!$A$6:$A$17,0))&amp;" → "&amp;INDEX('Case Portfolio'!$F$6:$F$17,MATCH($B$4,'Case Portfolio'!$A$6:$A$17,0))</x:f>
        <x:v>Watford → West Ham United</x:v>
      </x:c>
      <x:c r="C8" s="15"/>
      <x:c r="D8" s="15"/>
      <x:c r="F8" s="90" t="str">
        <x:f>INDEX('Case Portfolio'!$AG$6:$AG$17,MATCH($B$4,'Case Portfolio'!$A$6:$A$17,0))</x:f>
        <x:v>Confirmed positive fit: Compatibility features raised both forecasts and moved both closer to the realized destination outcomes. Opportunity realized as high usage; performance realized as near role average.</x:v>
      </x:c>
      <x:c r="G8" s="91"/>
      <x:c r="H8" s="91"/>
      <x:c r="I8" s="91"/>
      <x:c r="J8" s="91"/>
      <x:c r="K8" s="91"/>
      <x:c r="L8" s="91"/>
      <x:c r="M8" s="91"/>
      <x:c r="N8" s="92"/>
    </x:row>
    <x:row r="9" ht="24" customHeight="1">
      <x:c r="A9" s="67" t="str">
        <x:v>Role</x:v>
      </x:c>
      <x:c r="B9" s="15" t="str">
        <x:f>INDEX('Case Portfolio'!$G$6:$G$17,MATCH($B$4,'Case Portfolio'!$A$6:$A$17,0))</x:f>
        <x:v>Defender</x:v>
      </x:c>
      <x:c r="C9" s="15"/>
      <x:c r="D9" s="15"/>
      <x:c r="F9" s="93"/>
      <x:c r="G9" s="94"/>
      <x:c r="H9" s="94"/>
      <x:c r="I9" s="94"/>
      <x:c r="J9" s="94"/>
      <x:c r="K9" s="94"/>
      <x:c r="L9" s="94"/>
      <x:c r="M9" s="94"/>
      <x:c r="N9" s="95"/>
    </x:row>
    <x:row r="10" ht="24" customHeight="1">
      <x:c r="A10" s="67" t="str">
        <x:v>Competition</x:v>
      </x:c>
      <x:c r="B10" s="15" t="str">
        <x:f>INDEX('Case Portfolio'!$H$6:$H$17,MATCH($B$4,'Case Portfolio'!$A$6:$A$17,0))</x:f>
        <x:v>Premier League</x:v>
      </x:c>
      <x:c r="C10" s="15"/>
      <x:c r="D10" s="15"/>
      <x:c r="F10" s="93"/>
      <x:c r="G10" s="94"/>
      <x:c r="H10" s="94"/>
      <x:c r="I10" s="94"/>
      <x:c r="J10" s="94"/>
      <x:c r="K10" s="94"/>
      <x:c r="L10" s="94"/>
      <x:c r="M10" s="94"/>
      <x:c r="N10" s="95"/>
    </x:row>
    <x:row r="11" ht="24" customHeight="1">
      <x:c r="A11" s="67" t="str">
        <x:v>Transfer Date</x:v>
      </x:c>
      <x:c r="B11" s="30" t="n">
        <x:f>INDEX('Case Portfolio'!$I$6:$I$17,MATCH($B$4,'Case Portfolio'!$A$6:$A$17,0))</x:f>
        <x:v>44378</x:v>
      </x:c>
      <x:c r="C11" s="15"/>
      <x:c r="D11" s="15"/>
      <x:c r="F11" s="93"/>
      <x:c r="G11" s="94"/>
      <x:c r="H11" s="94"/>
      <x:c r="I11" s="94"/>
      <x:c r="J11" s="94"/>
      <x:c r="K11" s="94"/>
      <x:c r="L11" s="94"/>
      <x:c r="M11" s="94"/>
      <x:c r="N11" s="95"/>
    </x:row>
    <x:row r="12" ht="24" customHeight="1">
      <x:c r="A12" s="67" t="str">
        <x:v>Fee</x:v>
      </x:c>
      <x:c r="B12" s="32" t="n">
        <x:f>INDEX('Case Portfolio'!$K$6:$K$17,MATCH($B$4,'Case Portfolio'!$A$6:$A$17,0))</x:f>
        <x:v>2300000</x:v>
      </x:c>
      <x:c r="C12" s="15"/>
      <x:c r="D12" s="15"/>
      <x:c r="F12" s="96"/>
      <x:c r="G12" s="97"/>
      <x:c r="H12" s="97"/>
      <x:c r="I12" s="97"/>
      <x:c r="J12" s="97"/>
      <x:c r="K12" s="97"/>
      <x:c r="L12" s="97"/>
      <x:c r="M12" s="97"/>
      <x:c r="N12" s="98"/>
    </x:row>
    <x:row r="14">
      <x:c r="A14" s="68" t="str">
        <x:v>Frozen forecasts versus realized outcomes</x:v>
      </x:c>
      <x:c r="B14" s="68"/>
      <x:c r="C14" s="68"/>
      <x:c r="D14" s="68"/>
      <x:c r="E14" s="68"/>
      <x:c r="F14" s="68"/>
      <x:c r="G14" s="68"/>
      <x:c r="I14" s="63" t="str">
        <x:v>Pre-move fit scores</x:v>
      </x:c>
      <x:c r="J14" s="63"/>
      <x:c r="K14" s="63"/>
      <x:c r="L14" s="63"/>
      <x:c r="M14" s="63"/>
      <x:c r="N14" s="63"/>
    </x:row>
    <x:row r="15">
      <x:c r="A15" s="101" t="str">
        <x:v>Target</x:v>
      </x:c>
      <x:c r="B15" s="101" t="str">
        <x:v>Baseline</x:v>
      </x:c>
      <x:c r="C15" s="101" t="str">
        <x:v>Compatibility</x:v>
      </x:c>
      <x:c r="D15" s="101" t="str">
        <x:v>Lift</x:v>
      </x:c>
      <x:c r="E15" s="101" t="str">
        <x:v>Actual</x:v>
      </x:c>
      <x:c r="F15" s="101" t="str">
        <x:v>Error Improvement</x:v>
      </x:c>
      <x:c r="G15" s="101" t="str">
        <x:v>More Accurate?</x:v>
      </x:c>
      <x:c r="I15" s="67" t="str">
        <x:v>Metric</x:v>
      </x:c>
      <x:c r="J15" s="67" t="str">
        <x:v>Score</x:v>
      </x:c>
      <x:c r="L15" s="67" t="str">
        <x:v>Metric</x:v>
      </x:c>
      <x:c r="M15" s="67" t="str">
        <x:v>Score</x:v>
      </x:c>
    </x:row>
    <x:row r="16">
      <x:c r="A16" s="15" t="str">
        <x:v>Opportunity</x:v>
      </x:c>
      <x:c r="B16" s="36" t="n">
        <x:f>INDEX('Case Portfolio'!$N$6:$N$17,MATCH($B$4,'Case Portfolio'!$A$6:$A$17,0))</x:f>
        <x:v>0.5123274806885171</x:v>
      </x:c>
      <x:c r="C16" s="36" t="n">
        <x:f>INDEX('Case Portfolio'!$O$6:$O$17,MATCH($B$4,'Case Portfolio'!$A$6:$A$17,0))</x:f>
        <x:v>0.5200935740974639</x:v>
      </x:c>
      <x:c r="D16" s="36" t="n">
        <x:f>INDEX('Case Portfolio'!$P$6:$P$17,MATCH($B$4,'Case Portfolio'!$A$6:$A$17,0))</x:f>
        <x:v>0.00776609340894685</x:v>
      </x:c>
      <x:c r="E16" s="36" t="n">
        <x:f>INDEX('Case Portfolio'!$Q$6:$Q$17,MATCH($B$4,'Case Portfolio'!$A$6:$A$17,0))</x:f>
        <x:v>0.827027027027027</x:v>
      </x:c>
      <x:c r="F16" s="36" t="n">
        <x:f>INDEX('Case Portfolio'!$R$6:$R$17,MATCH($B$4,'Case Portfolio'!$A$6:$A$17,0))</x:f>
        <x:v>0.00776609340894685</x:v>
      </x:c>
      <x:c r="G16" s="15" t="str">
        <x:f>IF(INDEX('Case Portfolio'!$S$6:$S$17,MATCH($B$4,'Case Portfolio'!$A$6:$A$17,0)),"Yes","No")</x:f>
        <x:v>Yes</x:v>
      </x:c>
      <x:c r="I16" s="15" t="str">
        <x:v>Context Familiarity</x:v>
      </x:c>
      <x:c r="J16" s="38" t="n">
        <x:f>INDEX('Case Portfolio'!$AA$6:$AA$17,MATCH($B$4,'Case Portfolio'!$A$6:$A$17,0))</x:f>
        <x:v>88.96538764020545</x:v>
      </x:c>
      <x:c r="L16" s="15" t="str">
        <x:v>Style Similarity</x:v>
      </x:c>
      <x:c r="M16" s="36" t="n">
        <x:f>INDEX('Case Portfolio'!$AC$6:$AC$17,MATCH($B$4,'Case Portfolio'!$A$6:$A$17,0))</x:f>
        <x:v>0.4728922736460586</x:v>
      </x:c>
    </x:row>
    <x:row r="17">
      <x:c r="A17" s="15" t="str">
        <x:v>Performance</x:v>
      </x:c>
      <x:c r="B17" s="36" t="n">
        <x:f>INDEX('Case Portfolio'!$T$6:$T$17,MATCH($B$4,'Case Portfolio'!$A$6:$A$17,0))</x:f>
        <x:v>-0.1609766596939867</x:v>
      </x:c>
      <x:c r="C17" s="36" t="n">
        <x:f>INDEX('Case Portfolio'!$U$6:$U$17,MATCH($B$4,'Case Portfolio'!$A$6:$A$17,0))</x:f>
        <x:v>-0.1388987215312384</x:v>
      </x:c>
      <x:c r="D17" s="36" t="n">
        <x:f>INDEX('Case Portfolio'!$V$6:$V$17,MATCH($B$4,'Case Portfolio'!$A$6:$A$17,0))</x:f>
        <x:v>0.022077938162748306</x:v>
      </x:c>
      <x:c r="E17" s="36" t="n">
        <x:f>INDEX('Case Portfolio'!$W$6:$W$17,MATCH($B$4,'Case Portfolio'!$A$6:$A$17,0))</x:f>
        <x:v>0.0539409100484652</x:v>
      </x:c>
      <x:c r="F17" s="36" t="n">
        <x:f>INDEX('Case Portfolio'!$X$6:$X$17,MATCH($B$4,'Case Portfolio'!$A$6:$A$17,0))</x:f>
        <x:v>0.022077938162748334</x:v>
      </x:c>
      <x:c r="G17" s="15" t="str">
        <x:f>IF(INDEX('Case Portfolio'!$Y$6:$Y$17,MATCH($B$4,'Case Portfolio'!$A$6:$A$17,0)),"Yes","No")</x:f>
        <x:v>Yes</x:v>
      </x:c>
      <x:c r="I17" s="15" t="str">
        <x:v>Preference Fit</x:v>
      </x:c>
      <x:c r="J17" s="38" t="n">
        <x:f>INDEX('Case Portfolio'!$AB$6:$AB$17,MATCH($B$4,'Case Portfolio'!$A$6:$A$17,0))</x:f>
        <x:v>88.79320312513921</x:v>
      </x:c>
      <x:c r="L17" s="15" t="str">
        <x:v>Style Distance</x:v>
      </x:c>
      <x:c r="M17" s="36" t="n">
        <x:f>INDEX('Case Portfolio'!$AD$6:$AD$17,MATCH($B$4,'Case Portfolio'!$A$6:$A$17,0))</x:f>
        <x:v>0.4809672529110058</x:v>
      </x:c>
    </x:row>
    <x:row r="20">
      <x:c r="A20" s="68" t="str">
        <x:v>Player versus destination style</x:v>
      </x:c>
      <x:c r="B20" s="68"/>
      <x:c r="C20" s="68"/>
      <x:c r="D20" s="68"/>
    </x:row>
    <x:row r="21">
      <x:c r="A21" s="67" t="str">
        <x:v>Style Dimension</x:v>
      </x:c>
      <x:c r="B21" s="67" t="str">
        <x:v>Player z</x:v>
      </x:c>
      <x:c r="C21" s="67" t="str">
        <x:v>Destination z</x:v>
      </x:c>
      <x:c r="D21" s="67" t="str">
        <x:v>Absolute Gap</x:v>
      </x:c>
    </x:row>
    <x:row r="22">
      <x:c r="A22" s="15" t="str">
        <x:v>Aerial Physicality</x:v>
      </x:c>
      <x:c r="B22" s="40" t="n">
        <x:f>SUMIFS('Style Profiles'!$G$6:$G$101,'Style Profiles'!$B$6:$B$101,$B$4,'Style Profiles'!$E$6:$E$101,"aerial_physicality")</x:f>
        <x:v>0.8805096121352031</x:v>
      </x:c>
      <x:c r="C22" s="40" t="n">
        <x:f>SUMIFS('Style Profiles'!$H$6:$H$101,'Style Profiles'!$B$6:$B$101,$B$4,'Style Profiles'!$E$6:$E$101,"aerial_physicality")</x:f>
        <x:v>0.1378126902241505</x:v>
      </x:c>
      <x:c r="D22" s="40" t="n">
        <x:f>SUMIFS('Style Profiles'!$J$6:$J$101,'Style Profiles'!$B$6:$B$101,$B$4,'Style Profiles'!$E$6:$E$101,"aerial_physicality")</x:f>
        <x:v>0.7426969219110526</x:v>
      </x:c>
    </x:row>
    <x:row r="23">
      <x:c r="A23" s="15" t="str">
        <x:v>Creation</x:v>
      </x:c>
      <x:c r="B23" s="40" t="n">
        <x:f>SUMIFS('Style Profiles'!$G$6:$G$101,'Style Profiles'!$B$6:$B$101,$B$4,'Style Profiles'!$E$6:$E$101,"creation")</x:f>
        <x:v>-0.6259279205173369</x:v>
      </x:c>
      <x:c r="C23" s="40" t="n">
        <x:f>SUMIFS('Style Profiles'!$H$6:$H$101,'Style Profiles'!$B$6:$B$101,$B$4,'Style Profiles'!$E$6:$E$101,"creation")</x:f>
        <x:v>0.1407570969387528</x:v>
      </x:c>
      <x:c r="D23" s="40" t="n">
        <x:f>SUMIFS('Style Profiles'!$J$6:$J$101,'Style Profiles'!$B$6:$B$101,$B$4,'Style Profiles'!$E$6:$E$101,"creation")</x:f>
        <x:v>0.7666850174560897</x:v>
      </x:c>
    </x:row>
    <x:row r="24">
      <x:c r="A24" s="15" t="str">
        <x:v>Defensive Intensity</x:v>
      </x:c>
      <x:c r="B24" s="40" t="n">
        <x:f>SUMIFS('Style Profiles'!$G$6:$G$101,'Style Profiles'!$B$6:$B$101,$B$4,'Style Profiles'!$E$6:$E$101,"defensive_intensity")</x:f>
        <x:v>-0.1600487517106927</x:v>
      </x:c>
      <x:c r="C24" s="40" t="n">
        <x:f>SUMIFS('Style Profiles'!$H$6:$H$101,'Style Profiles'!$B$6:$B$101,$B$4,'Style Profiles'!$E$6:$E$101,"defensive_intensity")</x:f>
        <x:v>-0.0034522349909793</x:v>
      </x:c>
      <x:c r="D24" s="40" t="n">
        <x:f>SUMIFS('Style Profiles'!$J$6:$J$101,'Style Profiles'!$B$6:$B$101,$B$4,'Style Profiles'!$E$6:$E$101,"defensive_intensity")</x:f>
        <x:v>0.1565965167197134</x:v>
      </x:c>
    </x:row>
    <x:row r="25">
      <x:c r="A25" s="15" t="str">
        <x:v>Directness</x:v>
      </x:c>
      <x:c r="B25" s="40" t="n">
        <x:f>SUMIFS('Style Profiles'!$G$6:$G$101,'Style Profiles'!$B$6:$B$101,$B$4,'Style Profiles'!$E$6:$E$101,"directness")</x:f>
        <x:v>-0.1527977070695591</x:v>
      </x:c>
      <x:c r="C25" s="40" t="n">
        <x:f>SUMIFS('Style Profiles'!$H$6:$H$101,'Style Profiles'!$B$6:$B$101,$B$4,'Style Profiles'!$E$6:$E$101,"directness")</x:f>
        <x:v>0.0374977230385627</x:v>
      </x:c>
      <x:c r="D25" s="40" t="n">
        <x:f>SUMIFS('Style Profiles'!$J$6:$J$101,'Style Profiles'!$B$6:$B$101,$B$4,'Style Profiles'!$E$6:$E$101,"directness")</x:f>
        <x:v>0.1902954301081218</x:v>
      </x:c>
    </x:row>
    <x:row r="26">
      <x:c r="A26" s="15" t="str">
        <x:v>Dribble Aggression</x:v>
      </x:c>
      <x:c r="B26" s="40" t="n">
        <x:f>SUMIFS('Style Profiles'!$G$6:$G$101,'Style Profiles'!$B$6:$B$101,$B$4,'Style Profiles'!$E$6:$E$101,"dribble_aggression")</x:f>
        <x:v>-0.2207296629756537</x:v>
      </x:c>
      <x:c r="C26" s="40" t="n">
        <x:f>SUMIFS('Style Profiles'!$H$6:$H$101,'Style Profiles'!$B$6:$B$101,$B$4,'Style Profiles'!$E$6:$E$101,"dribble_aggression")</x:f>
        <x:v>-0.070040943320158</x:v>
      </x:c>
      <x:c r="D26" s="40" t="n">
        <x:f>SUMIFS('Style Profiles'!$J$6:$J$101,'Style Profiles'!$B$6:$B$101,$B$4,'Style Profiles'!$E$6:$E$101,"dribble_aggression")</x:f>
        <x:v>0.15068871965549568</x:v>
      </x:c>
    </x:row>
    <x:row r="27">
      <x:c r="A27" s="15" t="str">
        <x:v>Passing Control</x:v>
      </x:c>
      <x:c r="B27" s="40" t="n">
        <x:f>SUMIFS('Style Profiles'!$G$6:$G$101,'Style Profiles'!$B$6:$B$101,$B$4,'Style Profiles'!$E$6:$E$101,"passing_control")</x:f>
        <x:v>-0.194573966095032</x:v>
      </x:c>
      <x:c r="C27" s="40" t="n">
        <x:f>SUMIFS('Style Profiles'!$H$6:$H$101,'Style Profiles'!$B$6:$B$101,$B$4,'Style Profiles'!$E$6:$E$101,"passing_control")</x:f>
        <x:v>-0.1080497709762582</x:v>
      </x:c>
      <x:c r="D27" s="40" t="n">
        <x:f>SUMIFS('Style Profiles'!$J$6:$J$101,'Style Profiles'!$B$6:$B$101,$B$4,'Style Profiles'!$E$6:$E$101,"passing_control")</x:f>
        <x:v>0.0865241951187738</x:v>
      </x:c>
    </x:row>
    <x:row r="28">
      <x:c r="A28" s="15" t="str">
        <x:v>Progression</x:v>
      </x:c>
      <x:c r="B28" s="40" t="n">
        <x:f>SUMIFS('Style Profiles'!$G$6:$G$101,'Style Profiles'!$B$6:$B$101,$B$4,'Style Profiles'!$E$6:$E$101,"progression")</x:f>
        <x:v>-0.7224518076993031</x:v>
      </x:c>
      <x:c r="C28" s="40" t="n">
        <x:f>SUMIFS('Style Profiles'!$H$6:$H$101,'Style Profiles'!$B$6:$B$101,$B$4,'Style Profiles'!$E$6:$E$101,"progression")</x:f>
        <x:v>-0.0254767609268862</x:v>
      </x:c>
      <x:c r="D28" s="40" t="n">
        <x:f>SUMIFS('Style Profiles'!$J$6:$J$101,'Style Profiles'!$B$6:$B$101,$B$4,'Style Profiles'!$E$6:$E$101,"progression")</x:f>
        <x:v>0.6969750467724168</x:v>
      </x:c>
    </x:row>
    <x:row r="29">
      <x:c r="A29" s="15" t="str">
        <x:v>Scoring Threat</x:v>
      </x:c>
      <x:c r="B29" s="40" t="n">
        <x:f>SUMIFS('Style Profiles'!$G$6:$G$101,'Style Profiles'!$B$6:$B$101,$B$4,'Style Profiles'!$E$6:$E$101,"scoring_threat")</x:f>
        <x:v>0.8101530830879725</x:v>
      </x:c>
      <x:c r="C29" s="40" t="n">
        <x:f>SUMIFS('Style Profiles'!$H$6:$H$101,'Style Profiles'!$B$6:$B$101,$B$4,'Style Profiles'!$E$6:$E$101,"scoring_threat")</x:f>
        <x:v>0.1602255720818634</x:v>
      </x:c>
      <x:c r="D29" s="40" t="n">
        <x:f>SUMIFS('Style Profiles'!$J$6:$J$101,'Style Profiles'!$B$6:$B$101,$B$4,'Style Profiles'!$E$6:$E$101,"scoring_threat")</x:f>
        <x:v>0.6499275110061091</x:v>
      </x:c>
    </x:row>
    <x:row r="37">
      <x:c r="A37" s="63" t="str">
        <x:v>Historical context preferences</x:v>
      </x:c>
      <x:c r="B37" s="63"/>
      <x:c r="C37" s="63"/>
      <x:c r="D37" s="63"/>
      <x:c r="E37" s="63"/>
      <x:c r="F37" s="63"/>
      <x:c r="G37" s="63"/>
      <x:c r="H37" s="63"/>
    </x:row>
    <x:row r="38">
      <x:c r="A38" s="103" t="str">
        <x:v>Context</x:v>
      </x:c>
      <x:c r="B38" s="103" t="str">
        <x:v>Destination z</x:v>
      </x:c>
      <x:c r="C38" s="103" t="str">
        <x:v>Exposure z</x:v>
      </x:c>
      <x:c r="D38" s="103" t="str">
        <x:v>Preferred z</x:v>
      </x:c>
      <x:c r="E38" s="103" t="str">
        <x:v>Slope</x:v>
      </x:c>
      <x:c r="F38" s="103" t="str">
        <x:v>Familiarity Distance</x:v>
      </x:c>
      <x:c r="G38" s="103" t="str">
        <x:v>Preference Distance</x:v>
      </x:c>
      <x:c r="H38" s="103" t="str">
        <x:v>Historical Direction</x:v>
      </x:c>
    </x:row>
    <x:row r="39" ht="31" customHeight="1">
      <x:c r="A39" s="15" t="str">
        <x:v>Defensive Intensity</x:v>
      </x:c>
      <x:c r="B39" s="40" t="n">
        <x:f>SUMIFS('Context Preferences'!$G$6:$G$77,'Context Preferences'!$B$6:$B$77,$B$4,'Context Preferences'!$E$6:$E$77,"defensive_intensity")</x:f>
        <x:v>-0.1722660184721363</x:v>
      </x:c>
      <x:c r="C39" s="40" t="n">
        <x:f>SUMIFS('Context Preferences'!$H$6:$H$77,'Context Preferences'!$B$6:$B$77,$B$4,'Context Preferences'!$E$6:$E$77,"defensive_intensity")</x:f>
        <x:v>-0.141635936017972</x:v>
      </x:c>
      <x:c r="D39" s="40" t="n">
        <x:f>SUMIFS('Context Preferences'!$I$6:$I$77,'Context Preferences'!$B$6:$B$77,$B$4,'Context Preferences'!$E$6:$E$77,"defensive_intensity")</x:f>
        <x:v>-0.1418154848774593</x:v>
      </x:c>
      <x:c r="E39" s="40" t="n">
        <x:f>SUMIFS('Context Preferences'!$J$6:$J$77,'Context Preferences'!$B$6:$B$77,$B$4,'Context Preferences'!$E$6:$E$77,"defensive_intensity")</x:f>
        <x:v>-0.0953093344871158</x:v>
      </x:c>
      <x:c r="F39" s="40" t="n">
        <x:f>SUMIFS('Context Preferences'!$K$6:$K$77,'Context Preferences'!$B$6:$B$77,$B$4,'Context Preferences'!$E$6:$E$77,"defensive_intensity")</x:f>
        <x:v>0.030630082454164292</x:v>
      </x:c>
      <x:c r="G39" s="40" t="n">
        <x:f>SUMIFS('Context Preferences'!$L$6:$L$77,'Context Preferences'!$B$6:$B$77,$B$4,'Context Preferences'!$E$6:$E$77,"defensive_intensity")</x:f>
        <x:v>0.030450533594677004</x:v>
      </x:c>
      <x:c r="H39" s="20" t="str">
        <x:f>IF(ABS(E39)&lt;=0.05,"Weak or Uncertain History",IF(E39&gt;0,"Historically Better With More","Historically Better With Less"))</x:f>
        <x:v>Historically Better With Less</x:v>
      </x:c>
    </x:row>
    <x:row r="40" ht="31" customHeight="1">
      <x:c r="A40" s="15" t="str">
        <x:v>Forward Mobility</x:v>
      </x:c>
      <x:c r="B40" s="40" t="n">
        <x:f>SUMIFS('Context Preferences'!$G$6:$G$77,'Context Preferences'!$B$6:$B$77,$B$4,'Context Preferences'!$E$6:$E$77,"forward_mobility")</x:f>
        <x:v>0.0528626935024922</x:v>
      </x:c>
      <x:c r="C40" s="40" t="n">
        <x:f>SUMIFS('Context Preferences'!$H$6:$H$77,'Context Preferences'!$B$6:$B$77,$B$4,'Context Preferences'!$E$6:$E$77,"forward_mobility")</x:f>
        <x:v>-0.0734154283470767</x:v>
      </x:c>
      <x:c r="D40" s="40" t="n">
        <x:f>SUMIFS('Context Preferences'!$I$6:$I$77,'Context Preferences'!$B$6:$B$77,$B$4,'Context Preferences'!$E$6:$E$77,"forward_mobility")</x:f>
        <x:v>-0.0771751571262236</x:v>
      </x:c>
      <x:c r="E40" s="40" t="n">
        <x:f>SUMIFS('Context Preferences'!$J$6:$J$77,'Context Preferences'!$B$6:$B$77,$B$4,'Context Preferences'!$E$6:$E$77,"forward_mobility")</x:f>
        <x:v>-0.1897831200557554</x:v>
      </x:c>
      <x:c r="F40" s="40" t="n">
        <x:f>SUMIFS('Context Preferences'!$K$6:$K$77,'Context Preferences'!$B$6:$B$77,$B$4,'Context Preferences'!$E$6:$E$77,"forward_mobility")</x:f>
        <x:v>0.1262781218495689</x:v>
      </x:c>
      <x:c r="G40" s="40" t="n">
        <x:f>SUMIFS('Context Preferences'!$L$6:$L$77,'Context Preferences'!$B$6:$B$77,$B$4,'Context Preferences'!$E$6:$E$77,"forward_mobility")</x:f>
        <x:v>0.1300378506287158</x:v>
      </x:c>
      <x:c r="H40" s="20" t="str">
        <x:f>IF(ABS(E40)&lt;=0.05,"Weak or Uncertain History",IF(E40&gt;0,"Historically Better With More","Historically Better With Less"))</x:f>
        <x:v>Historically Better With Less</x:v>
      </x:c>
    </x:row>
    <x:row r="41" ht="31" customHeight="1">
      <x:c r="A41" s="15" t="str">
        <x:v>Forward Threat</x:v>
      </x:c>
      <x:c r="B41" s="40" t="n">
        <x:f>SUMIFS('Context Preferences'!$G$6:$G$77,'Context Preferences'!$B$6:$B$77,$B$4,'Context Preferences'!$E$6:$E$77,"forward_threat")</x:f>
        <x:v>-0.0749977113124228</x:v>
      </x:c>
      <x:c r="C41" s="40" t="n">
        <x:f>SUMIFS('Context Preferences'!$H$6:$H$77,'Context Preferences'!$B$6:$B$77,$B$4,'Context Preferences'!$E$6:$E$77,"forward_threat")</x:f>
        <x:v>-0.2024408536857652</x:v>
      </x:c>
      <x:c r="D41" s="40" t="n">
        <x:f>SUMIFS('Context Preferences'!$I$6:$I$77,'Context Preferences'!$B$6:$B$77,$B$4,'Context Preferences'!$E$6:$E$77,"forward_threat")</x:f>
        <x:v>-0.2039280930234721</x:v>
      </x:c>
      <x:c r="E41" s="40" t="n">
        <x:f>SUMIFS('Context Preferences'!$J$6:$J$77,'Context Preferences'!$B$6:$B$77,$B$4,'Context Preferences'!$E$6:$E$77,"forward_threat")</x:f>
        <x:v>-0.2180392134837557</x:v>
      </x:c>
      <x:c r="F41" s="40" t="n">
        <x:f>SUMIFS('Context Preferences'!$K$6:$K$77,'Context Preferences'!$B$6:$B$77,$B$4,'Context Preferences'!$E$6:$E$77,"forward_threat")</x:f>
        <x:v>0.1274431423733424</x:v>
      </x:c>
      <x:c r="G41" s="40" t="n">
        <x:f>SUMIFS('Context Preferences'!$L$6:$L$77,'Context Preferences'!$B$6:$B$77,$B$4,'Context Preferences'!$E$6:$E$77,"forward_threat")</x:f>
        <x:v>0.12893038171104929</x:v>
      </x:c>
      <x:c r="H41" s="20" t="str">
        <x:f>IF(ABS(E41)&lt;=0.05,"Weak or Uncertain History",IF(E41&gt;0,"Historically Better With More","Historically Better With Less"))</x:f>
        <x:v>Historically Better With Less</x:v>
      </x:c>
    </x:row>
    <x:row r="42" ht="31" customHeight="1">
      <x:c r="A42" s="15" t="str">
        <x:v>Midfield Aggression</x:v>
      </x:c>
      <x:c r="B42" s="40" t="n">
        <x:f>SUMIFS('Context Preferences'!$G$6:$G$77,'Context Preferences'!$B$6:$B$77,$B$4,'Context Preferences'!$E$6:$E$77,"midfield_aggression")</x:f>
        <x:v>0.069839609339313</x:v>
      </x:c>
      <x:c r="C42" s="40" t="n">
        <x:f>SUMIFS('Context Preferences'!$H$6:$H$77,'Context Preferences'!$B$6:$B$77,$B$4,'Context Preferences'!$E$6:$E$77,"midfield_aggression")</x:f>
        <x:v>-0.1847131791414143</x:v>
      </x:c>
      <x:c r="D42" s="40" t="n">
        <x:f>SUMIFS('Context Preferences'!$I$6:$I$77,'Context Preferences'!$B$6:$B$77,$B$4,'Context Preferences'!$E$6:$E$77,"midfield_aggression")</x:f>
        <x:v>-0.1879703674856101</x:v>
      </x:c>
      <x:c r="E42" s="40" t="n">
        <x:f>SUMIFS('Context Preferences'!$J$6:$J$77,'Context Preferences'!$B$6:$B$77,$B$4,'Context Preferences'!$E$6:$E$77,"midfield_aggression")</x:f>
        <x:v>-0.1246702028422414</x:v>
      </x:c>
      <x:c r="F42" s="40" t="n">
        <x:f>SUMIFS('Context Preferences'!$K$6:$K$77,'Context Preferences'!$B$6:$B$77,$B$4,'Context Preferences'!$E$6:$E$77,"midfield_aggression")</x:f>
        <x:v>0.2545527884807273</x:v>
      </x:c>
      <x:c r="G42" s="40" t="n">
        <x:f>SUMIFS('Context Preferences'!$L$6:$L$77,'Context Preferences'!$B$6:$B$77,$B$4,'Context Preferences'!$E$6:$E$77,"midfield_aggression")</x:f>
        <x:v>0.2578099768249231</x:v>
      </x:c>
      <x:c r="H42" s="20" t="str">
        <x:f>IF(ABS(E42)&lt;=0.05,"Weak or Uncertain History",IF(E42&gt;0,"Historically Better With More","Historically Better With Less"))</x:f>
        <x:v>Historically Better With Less</x:v>
      </x:c>
    </x:row>
    <x:row r="43" ht="31" customHeight="1">
      <x:c r="A43" s="15" t="str">
        <x:v>Midfield Creativity</x:v>
      </x:c>
      <x:c r="B43" s="40" t="n">
        <x:f>SUMIFS('Context Preferences'!$G$6:$G$77,'Context Preferences'!$B$6:$B$77,$B$4,'Context Preferences'!$E$6:$E$77,"midfield_creativity")</x:f>
        <x:v>-0.1985187995506534</x:v>
      </x:c>
      <x:c r="C43" s="40" t="n">
        <x:f>SUMIFS('Context Preferences'!$H$6:$H$77,'Context Preferences'!$B$6:$B$77,$B$4,'Context Preferences'!$E$6:$E$77,"midfield_creativity")</x:f>
        <x:v>-0.2012422219934005</x:v>
      </x:c>
      <x:c r="D43" s="40" t="n">
        <x:f>SUMIFS('Context Preferences'!$I$6:$I$77,'Context Preferences'!$B$6:$B$77,$B$4,'Context Preferences'!$E$6:$E$77,"midfield_creativity")</x:f>
        <x:v>-0.2009041704849825</x:v>
      </x:c>
      <x:c r="E43" s="40" t="n">
        <x:f>SUMIFS('Context Preferences'!$J$6:$J$77,'Context Preferences'!$B$6:$B$77,$B$4,'Context Preferences'!$E$6:$E$77,"midfield_creativity")</x:f>
        <x:v>0.6482198987663959</x:v>
      </x:c>
      <x:c r="F43" s="40" t="n">
        <x:f>SUMIFS('Context Preferences'!$K$6:$K$77,'Context Preferences'!$B$6:$B$77,$B$4,'Context Preferences'!$E$6:$E$77,"midfield_creativity")</x:f>
        <x:v>0.002723422442747092</x:v>
      </x:c>
      <x:c r="G43" s="40" t="n">
        <x:f>SUMIFS('Context Preferences'!$L$6:$L$77,'Context Preferences'!$B$6:$B$77,$B$4,'Context Preferences'!$E$6:$E$77,"midfield_creativity")</x:f>
        <x:v>0.002385370934329084</x:v>
      </x:c>
      <x:c r="H43" s="20" t="str">
        <x:f>IF(ABS(E43)&lt;=0.05,"Weak or Uncertain History",IF(E43&gt;0,"Historically Better With More","Historically Better With Less"))</x:f>
        <x:v>Historically Better With More</x:v>
      </x:c>
    </x:row>
    <x:row r="44" ht="31" customHeight="1">
      <x:c r="A44" s="15" t="str">
        <x:v>Team Passing Control</x:v>
      </x:c>
      <x:c r="B44" s="40" t="n">
        <x:f>SUMIFS('Context Preferences'!$G$6:$G$77,'Context Preferences'!$B$6:$B$77,$B$4,'Context Preferences'!$E$6:$E$77,"team_passing_control")</x:f>
        <x:v>-0.1080497709762582</x:v>
      </x:c>
      <x:c r="C44" s="40" t="n">
        <x:f>SUMIFS('Context Preferences'!$H$6:$H$77,'Context Preferences'!$B$6:$B$77,$B$4,'Context Preferences'!$E$6:$E$77,"team_passing_control")</x:f>
        <x:v>-0.2679589822797716</x:v>
      </x:c>
      <x:c r="D44" s="40" t="n">
        <x:f>SUMIFS('Context Preferences'!$I$6:$I$77,'Context Preferences'!$B$6:$B$77,$B$4,'Context Preferences'!$E$6:$E$77,"team_passing_control")</x:f>
        <x:v>-0.2715961391004174</x:v>
      </x:c>
      <x:c r="E44" s="40" t="n">
        <x:f>SUMIFS('Context Preferences'!$J$6:$J$77,'Context Preferences'!$B$6:$B$77,$B$4,'Context Preferences'!$E$6:$E$77,"team_passing_control")</x:f>
        <x:v>-0.220897345366731</x:v>
      </x:c>
      <x:c r="F44" s="40" t="n">
        <x:f>SUMIFS('Context Preferences'!$K$6:$K$77,'Context Preferences'!$B$6:$B$77,$B$4,'Context Preferences'!$E$6:$E$77,"team_passing_control")</x:f>
        <x:v>0.1599092113035134</x:v>
      </x:c>
      <x:c r="G44" s="40" t="n">
        <x:f>SUMIFS('Context Preferences'!$L$6:$L$77,'Context Preferences'!$B$6:$B$77,$B$4,'Context Preferences'!$E$6:$E$77,"team_passing_control")</x:f>
        <x:v>0.1635463681241592</x:v>
      </x:c>
      <x:c r="H44" s="20" t="str">
        <x:f>IF(ABS(E44)&lt;=0.05,"Weak or Uncertain History",IF(E44&gt;0,"Historically Better With More","Historically Better With Less"))</x:f>
        <x:v>Historically Better With Less</x:v>
      </x:c>
    </x:row>
  </x:sheetData>
  <x:mergeCells>
    <x:mergeCell ref="A1:N2"/>
    <x:mergeCell ref="A3:N3"/>
    <x:mergeCell ref="B4:C4"/>
    <x:mergeCell ref="A6:D6"/>
    <x:mergeCell ref="B7:D7"/>
    <x:mergeCell ref="B8:D8"/>
    <x:mergeCell ref="B9:D9"/>
    <x:mergeCell ref="B10:D10"/>
    <x:mergeCell ref="B11:D11"/>
    <x:mergeCell ref="B12:D12"/>
    <x:mergeCell ref="F6:N6"/>
    <x:mergeCell ref="F7:N7"/>
    <x:mergeCell ref="F8:N12"/>
    <x:mergeCell ref="A14:G14"/>
    <x:mergeCell ref="I14:N14"/>
    <x:mergeCell ref="A20:D20"/>
    <x:mergeCell ref="A37:H37"/>
  </x:mergeCells>
  <x:conditionalFormatting sqref="F7:N7">
    <x:cfRule type="containsText" dxfId="10" priority="1" operator="containsText" text="Confirmed Positive"/>
    <x:cfRule type="containsText" dxfId="11" priority="2" operator="containsText" text="Confirmed Compatibility Warning"/>
    <x:cfRule type="containsText" dxfId="12" priority="3" operator="containsText" text="Validated Target Trade-Off"/>
    <x:cfRule type="containsText" dxfId="13" priority="4" operator="containsText" text="False-"/>
  </x:conditionalFormatting>
  <x:conditionalFormatting sqref="F16:F17">
    <x:cfRule type="cellIs" dxfId="14" priority="5" operator="greaterThan">
      <x:formula>0</x:formula>
    </x:cfRule>
    <x:cfRule type="cellIs" dxfId="15" priority="6" operator="lessThan">
      <x:formula>0</x:formula>
    </x:cfRule>
  </x:conditionalFormatting>
  <x:dataValidations count="1">
    <x:dataValidation type="list" sqref="B4:C4">
      <x:formula1>'Case Portfolio'!$A$6:$A$17</x:formula1>
    </x:dataValidation>
  </x:dataValidations>
  <x:pageMargins left="0.7" right="0.7" top="0.75" bottom="0.75" header="0.3" footer="0.3"/>
  <x:drawing xmlns:r="http://schemas.openxmlformats.org/officeDocument/2006/relationships" r:id="Rb19c71072a8f4eb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9" hidden="0" customWidth="1"/>
    <x:col min="4" max="4" width="25" hidden="0" customWidth="1"/>
    <x:col min="5" max="5" width="23" hidden="0" customWidth="1"/>
    <x:col min="6" max="6" width="25" hidden="0" customWidth="1"/>
    <x:col min="7" max="7" width="14" hidden="0" customWidth="1"/>
    <x:col min="8" max="8" width="20" hidden="0" customWidth="1"/>
    <x:col min="9" max="9" width="14" hidden="0" customWidth="1"/>
    <x:col min="10" max="10" width="15" hidden="0" customWidth="1"/>
    <x:col min="11" max="11" width="14" hidden="0" customWidth="1"/>
    <x:col min="12" max="12" width="17" hidden="0" customWidth="1"/>
    <x:col min="13" max="13" width="13" hidden="0" customWidth="1"/>
    <x:col min="14" max="14" width="14" hidden="0" customWidth="1"/>
    <x:col min="15" max="15" width="17" hidden="0" customWidth="1"/>
    <x:col min="16" max="16" width="13" hidden="0" customWidth="1"/>
    <x:col min="17" max="17" width="13" hidden="0" customWidth="1"/>
    <x:col min="18" max="18" width="18" hidden="0" customWidth="1"/>
    <x:col min="19" max="19" width="11" hidden="0" customWidth="1"/>
    <x:col min="20" max="20" width="14" hidden="0" customWidth="1"/>
    <x:col min="21" max="21" width="17" hidden="0" customWidth="1"/>
    <x:col min="22" max="22" width="13" hidden="0" customWidth="1"/>
    <x:col min="23" max="23" width="13" hidden="0" customWidth="1"/>
    <x:col min="24" max="24" width="19" hidden="0" customWidth="1"/>
    <x:col min="25" max="25" width="11" hidden="0" customWidth="1"/>
    <x:col min="26" max="26" width="15" hidden="0" customWidth="1"/>
    <x:col min="27" max="27" width="18" hidden="0" customWidth="1"/>
    <x:col min="28" max="28" width="16" hidden="0" customWidth="1"/>
    <x:col min="29" max="29" width="15" hidden="0" customWidth="1"/>
    <x:col min="30" max="30" width="14" hidden="0" customWidth="1"/>
    <x:col min="31" max="31" width="28" hidden="0" customWidth="1"/>
    <x:col min="32" max="32" width="28" hidden="0" customWidth="1"/>
    <x:col min="33" max="33" width="65" hidden="0" customWidth="1"/>
    <x:col min="34" max="34" width="18" hidden="0" customWidth="1"/>
  </x:cols>
  <x:sheetData>
    <x:row r="1" ht="23" customHeight="1">
      <x:c r="A1" s="3" t="str">
        <x:v>Historical transfer case portfolio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30" customHeight="1">
      <x:c r="A3" s="7" t="str">
        <x:v>Twelve deterministic cases spanning validated fits, warnings, opportunity-performance trade-offs, and model failures.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5" ht="34" customHeight="1">
      <x:c r="A5" s="14" t="str">
        <x:v>Case ID</x:v>
      </x:c>
      <x:c r="B5" s="14" t="str">
        <x:v>Category</x:v>
      </x:c>
      <x:c r="C5" s="14" t="str">
        <x:v>Evidence Status</x:v>
      </x:c>
      <x:c r="D5" s="14" t="str">
        <x:v>Player</x:v>
      </x:c>
      <x:c r="E5" s="14" t="str">
        <x:v>Origin Club</x:v>
      </x:c>
      <x:c r="F5" s="14" t="str">
        <x:v>Destination Club</x:v>
      </x:c>
      <x:c r="G5" s="14" t="str">
        <x:v>Role</x:v>
      </x:c>
      <x:c r="H5" s="14" t="str">
        <x:v>Competition</x:v>
      </x:c>
      <x:c r="I5" s="14" t="str">
        <x:v>Transfer Date</x:v>
      </x:c>
      <x:c r="J5" s="14" t="str">
        <x:v>Transfer Type</x:v>
      </x:c>
      <x:c r="K5" s="14" t="str">
        <x:v>Fee EUR</x:v>
      </x:c>
      <x:c r="L5" s="14" t="str">
        <x:v>Market Value EUR</x:v>
      </x:c>
      <x:c r="M5" s="14" t="str">
        <x:v>Fee / Value</x:v>
      </x:c>
      <x:c r="N5" s="14" t="str">
        <x:v>Opp Baseline</x:v>
      </x:c>
      <x:c r="O5" s="14" t="str">
        <x:v>Opp Compatibility</x:v>
      </x:c>
      <x:c r="P5" s="14" t="str">
        <x:v>Opp Lift</x:v>
      </x:c>
      <x:c r="Q5" s="14" t="str">
        <x:v>Opp Actual</x:v>
      </x:c>
      <x:c r="R5" s="14" t="str">
        <x:v>Opp Error Improvement</x:v>
      </x:c>
      <x:c r="S5" s="14" t="str">
        <x:v>Opp Hit</x:v>
      </x:c>
      <x:c r="T5" s="14" t="str">
        <x:v>Perf Baseline</x:v>
      </x:c>
      <x:c r="U5" s="14" t="str">
        <x:v>Perf Compatibility</x:v>
      </x:c>
      <x:c r="V5" s="14" t="str">
        <x:v>Perf Lift</x:v>
      </x:c>
      <x:c r="W5" s="14" t="str">
        <x:v>Perf Actual</x:v>
      </x:c>
      <x:c r="X5" s="14" t="str">
        <x:v>Perf Error Improvement</x:v>
      </x:c>
      <x:c r="Y5" s="14" t="str">
        <x:v>Perf Hit</x:v>
      </x:c>
      <x:c r="Z5" s="14" t="str">
        <x:v>Two-Target Hits</x:v>
      </x:c>
      <x:c r="AA5" s="14" t="str">
        <x:v>Context Familiarity</x:v>
      </x:c>
      <x:c r="AB5" s="14" t="str">
        <x:v>Preference Fit</x:v>
      </x:c>
      <x:c r="AC5" s="14" t="str">
        <x:v>Style Similarity</x:v>
      </x:c>
      <x:c r="AD5" s="14" t="str">
        <x:v>Style Distance</x:v>
      </x:c>
      <x:c r="AE5" s="14" t="str">
        <x:v>Closest Style</x:v>
      </x:c>
      <x:c r="AF5" s="14" t="str">
        <x:v>Largest Style Gap</x:v>
      </x:c>
      <x:c r="AG5" s="14" t="str">
        <x:v>Operational Takeaway</x:v>
      </x:c>
      <x:c r="AH5" s="14" t="str">
        <x:v>StatsBomb Supplement</x:v>
      </x:c>
    </x:row>
    <x:row r="6" ht="38" customHeight="1">
      <x:c r="A6" s="17" t="str">
        <x:v>case_01</x:v>
      </x:c>
      <x:c r="B6" s="22" t="str">
        <x:v>Confirmed positive fit</x:v>
      </x:c>
      <x:c r="C6" s="19" t="str">
        <x:v>Retrospectively Validated Direction</x:v>
      </x:c>
      <x:c r="D6" s="17" t="str">
        <x:v>Craig Dawson</x:v>
      </x:c>
      <x:c r="E6" s="17" t="str">
        <x:v>Watford</x:v>
      </x:c>
      <x:c r="F6" s="17" t="str">
        <x:v>West Ham United</x:v>
      </x:c>
      <x:c r="G6" s="17" t="str">
        <x:v>Defender</x:v>
      </x:c>
      <x:c r="H6" s="17" t="str">
        <x:v>Premier League</x:v>
      </x:c>
      <x:c r="I6" s="29" t="n">
        <x:v>44378</x:v>
      </x:c>
      <x:c r="J6" s="17" t="str">
        <x:v>Transfer</x:v>
      </x:c>
      <x:c r="K6" s="31" t="n">
        <x:v>2300000</x:v>
      </x:c>
      <x:c r="L6" s="31" t="n">
        <x:v>3000000</x:v>
      </x:c>
      <x:c r="M6" s="33" t="n">
        <x:f>IFERROR(K6/L6,"")</x:f>
        <x:v>0.7666666666666667</x:v>
      </x:c>
      <x:c r="N6" s="35" t="n">
        <x:v>0.5123274806885171</x:v>
      </x:c>
      <x:c r="O6" s="35" t="n">
        <x:v>0.5200935740974639</x:v>
      </x:c>
      <x:c r="P6" s="35" t="n">
        <x:f>O6-N6</x:f>
        <x:v>0.00776609340894685</x:v>
      </x:c>
      <x:c r="Q6" s="35" t="n">
        <x:v>0.827027027027027</x:v>
      </x:c>
      <x:c r="R6" s="35" t="n">
        <x:f>ABS(Q6-N6)-ABS(Q6-O6)</x:f>
        <x:v>0.00776609340894685</x:v>
      </x:c>
      <x:c r="S6" s="17" t="b">
        <x:f>R6&gt;0</x:f>
        <x:v>1</x:v>
      </x:c>
      <x:c r="T6" s="35" t="n">
        <x:v>-0.1609766596939867</x:v>
      </x:c>
      <x:c r="U6" s="35" t="n">
        <x:v>-0.1388987215312384</x:v>
      </x:c>
      <x:c r="V6" s="35" t="n">
        <x:f>U6-T6</x:f>
        <x:v>0.022077938162748306</x:v>
      </x:c>
      <x:c r="W6" s="35" t="n">
        <x:v>0.0539409100484652</x:v>
      </x:c>
      <x:c r="X6" s="35" t="n">
        <x:f>ABS(W6-T6)-ABS(W6-U6)</x:f>
        <x:v>0.022077938162748334</x:v>
      </x:c>
      <x:c r="Y6" s="17" t="b">
        <x:f>X6&gt;0</x:f>
        <x:v>1</x:v>
      </x:c>
      <x:c r="Z6" s="17" t="n">
        <x:f>--S6+--Y6</x:f>
        <x:v>2</x:v>
      </x:c>
      <x:c r="AA6" s="37" t="n">
        <x:v>88.96538764020545</x:v>
      </x:c>
      <x:c r="AB6" s="37" t="n">
        <x:v>88.79320312513921</x:v>
      </x:c>
      <x:c r="AC6" s="35" t="n">
        <x:v>0.4728922736460586</x:v>
      </x:c>
      <x:c r="AD6" s="35" t="n">
        <x:v>0.4809672529110058</x:v>
      </x:c>
      <x:c r="AE6" s="19" t="str">
        <x:v>Passing control; Dribble aggression</x:v>
      </x:c>
      <x:c r="AF6" s="19" t="str">
        <x:v>Creation; Aerial physicality</x:v>
      </x:c>
      <x:c r="AG6" s="19" t="str">
        <x:v>Confirmed positive fit: Compatibility features raised both forecasts and moved both closer to the realized destination outcomes. Opportunity realized as high usage; performance realized as near role average.</x:v>
      </x:c>
      <x:c r="AH6" s="18" t="b">
        <x:v>0</x:v>
      </x:c>
    </x:row>
    <x:row r="7" ht="38" customHeight="1">
      <x:c r="A7" s="15" t="str">
        <x:v>case_02</x:v>
      </x:c>
      <x:c r="B7" s="22" t="str">
        <x:v>Confirmed positive fit</x:v>
      </x:c>
      <x:c r="C7" s="20" t="str">
        <x:v>Retrospectively Validated Direction</x:v>
      </x:c>
      <x:c r="D7" s="15" t="str">
        <x:v>Óscar Rodríguez Arnaiz</x:v>
      </x:c>
      <x:c r="E7" s="15" t="str">
        <x:v>Sevilla FC</x:v>
      </x:c>
      <x:c r="F7" s="15" t="str">
        <x:v>Celta de Vigo</x:v>
      </x:c>
      <x:c r="G7" s="15" t="str">
        <x:v>Midfielder</x:v>
      </x:c>
      <x:c r="H7" s="15" t="str">
        <x:v>La Liga</x:v>
      </x:c>
      <x:c r="I7" s="30" t="n">
        <x:v>44750</x:v>
      </x:c>
      <x:c r="J7" s="15" t="str">
        <x:v>Loan</x:v>
      </x:c>
      <x:c r="K7" s="32" t="n">
        <x:v>0</x:v>
      </x:c>
      <x:c r="L7" s="32" t="n">
        <x:v>9000000</x:v>
      </x:c>
      <x:c r="M7" s="34" t="n">
        <x:f>IFERROR(K7/L7,"")</x:f>
        <x:v>0</x:v>
      </x:c>
      <x:c r="N7" s="36" t="n">
        <x:v>0.3956510793527452</x:v>
      </x:c>
      <x:c r="O7" s="36" t="n">
        <x:v>0.4118187172455929</x:v>
      </x:c>
      <x:c r="P7" s="36" t="n">
        <x:f>O7-N7</x:f>
        <x:v>0.016167637892847697</x:v>
      </x:c>
      <x:c r="Q7" s="36" t="n">
        <x:v>0.5330330330330331</x:v>
      </x:c>
      <x:c r="R7" s="36" t="n">
        <x:f>ABS(Q7-N7)-ABS(Q7-O7)</x:f>
        <x:v>0.016167637892847697</x:v>
      </x:c>
      <x:c r="S7" s="15" t="b">
        <x:f>R7&gt;0</x:f>
        <x:v>1</x:v>
      </x:c>
      <x:c r="T7" s="36" t="n">
        <x:v>-0.0179389067982076</x:v>
      </x:c>
      <x:c r="U7" s="36" t="n">
        <x:v>0.0491439213824718</x:v>
      </x:c>
      <x:c r="V7" s="36" t="n">
        <x:f>U7-T7</x:f>
        <x:v>0.0670828281806794</x:v>
      </x:c>
      <x:c r="W7" s="36" t="n">
        <x:v>0.0663230384924339</x:v>
      </x:c>
      <x:c r="X7" s="36" t="n">
        <x:f>ABS(W7-T7)-ABS(W7-U7)</x:f>
        <x:v>0.0670828281806794</x:v>
      </x:c>
      <x:c r="Y7" s="15" t="b">
        <x:f>X7&gt;0</x:f>
        <x:v>1</x:v>
      </x:c>
      <x:c r="Z7" s="15" t="n">
        <x:f>--S7+--Y7</x:f>
        <x:v>2</x:v>
      </x:c>
      <x:c r="AA7" s="38" t="n">
        <x:v>81.57407022746271</x:v>
      </x:c>
      <x:c r="AB7" s="38" t="n">
        <x:v>81.60904738002469</x:v>
      </x:c>
      <x:c r="AC7" s="36" t="n">
        <x:v>0.4948644155184432</x:v>
      </x:c>
      <x:c r="AD7" s="36" t="n">
        <x:v>0.1222472427235794</x:v>
      </x:c>
      <x:c r="AE7" s="20" t="str">
        <x:v>Directness; Progression</x:v>
      </x:c>
      <x:c r="AF7" s="20" t="str">
        <x:v>Dribble aggression; Scoring threat</x:v>
      </x:c>
      <x:c r="AG7" s="20" t="str">
        <x:v>Confirmed positive fit: Compatibility features raised both forecasts and moved both closer to the realized destination outcomes. Opportunity realized as rotation usage; performance realized as near role average.</x:v>
      </x:c>
      <x:c r="AH7" s="16" t="b">
        <x:v>0</x:v>
      </x:c>
    </x:row>
    <x:row r="8" ht="38" customHeight="1">
      <x:c r="A8" s="17" t="str">
        <x:v>case_03</x:v>
      </x:c>
      <x:c r="B8" s="24" t="str">
        <x:v>Confirmed compatibility warning</x:v>
      </x:c>
      <x:c r="C8" s="19" t="str">
        <x:v>Retrospectively Validated Direction</x:v>
      </x:c>
      <x:c r="D8" s="17" t="str">
        <x:v>Jorge Meré</x:v>
      </x:c>
      <x:c r="E8" s="17" t="str">
        <x:v>América</x:v>
      </x:c>
      <x:c r="F8" s="17" t="str">
        <x:v>Cádiz CF</x:v>
      </x:c>
      <x:c r="G8" s="17" t="str">
        <x:v>Defender</x:v>
      </x:c>
      <x:c r="H8" s="17" t="str">
        <x:v>La Liga</x:v>
      </x:c>
      <x:c r="I8" s="29" t="n">
        <x:v>45138</x:v>
      </x:c>
      <x:c r="J8" s="17" t="str">
        <x:v>Loan</x:v>
      </x:c>
      <x:c r="K8" s="31" t="n">
        <x:v>0</x:v>
      </x:c>
      <x:c r="L8" s="31" t="n">
        <x:v>1200000</x:v>
      </x:c>
      <x:c r="M8" s="33" t="n">
        <x:f>IFERROR(K8/L8,"")</x:f>
        <x:v>0</x:v>
      </x:c>
      <x:c r="N8" s="35" t="n">
        <x:v>0.3657203398254235</x:v>
      </x:c>
      <x:c r="O8" s="35" t="n">
        <x:v>0.3265281593642774</x:v>
      </x:c>
      <x:c r="P8" s="35" t="n">
        <x:f>O8-N8</x:f>
        <x:v>-0.03919218046114609</x:v>
      </x:c>
      <x:c r="Q8" s="35" t="n">
        <x:v>0.2021021021021021</x:v>
      </x:c>
      <x:c r="R8" s="35" t="n">
        <x:f>ABS(Q8-N8)-ABS(Q8-O8)</x:f>
        <x:v>0.03919218046114609</x:v>
      </x:c>
      <x:c r="S8" s="17" t="b">
        <x:f>R8&gt;0</x:f>
        <x:v>1</x:v>
      </x:c>
      <x:c r="T8" s="35" t="n">
        <x:v>-0.2073976154009175</x:v>
      </x:c>
      <x:c r="U8" s="35" t="n">
        <x:v>-0.2795347147991569</x:v>
      </x:c>
      <x:c r="V8" s="35" t="n">
        <x:f>U8-T8</x:f>
        <x:v>-0.07213709939823942</x:v>
      </x:c>
      <x:c r="W8" s="35" t="n">
        <x:v>-0.4762030315375522</x:v>
      </x:c>
      <x:c r="X8" s="35" t="n">
        <x:f>ABS(W8-T8)-ABS(W8-U8)</x:f>
        <x:v>0.07213709939823942</x:v>
      </x:c>
      <x:c r="Y8" s="17" t="b">
        <x:f>X8&gt;0</x:f>
        <x:v>1</x:v>
      </x:c>
      <x:c r="Z8" s="17" t="n">
        <x:f>--S8+--Y8</x:f>
        <x:v>2</x:v>
      </x:c>
      <x:c r="AA8" s="37" t="n">
        <x:v>82.90168593620626</x:v>
      </x:c>
      <x:c r="AB8" s="37" t="n">
        <x:v>82.4831338349125</x:v>
      </x:c>
      <x:c r="AC8" s="35" t="n">
        <x:v>0.8311348590775443</x:v>
      </x:c>
      <x:c r="AD8" s="35" t="n">
        <x:v>0.3168944331963637</x:v>
      </x:c>
      <x:c r="AE8" s="19" t="str">
        <x:v>Directness; Defensive intensity</x:v>
      </x:c>
      <x:c r="AF8" s="19" t="str">
        <x:v>Passing control; Scoring threat</x:v>
      </x:c>
      <x:c r="AG8" s="19" t="str">
        <x:v>Confirmed compatibility warning: Compatibility features lowered both forecasts and more accurately anticipated below-baseline destination outcomes. Opportunity realized as limited usage; performance realized as near role average.</x:v>
      </x:c>
      <x:c r="AH8" s="18" t="b">
        <x:v>0</x:v>
      </x:c>
    </x:row>
    <x:row r="9" ht="38" customHeight="1">
      <x:c r="A9" s="15" t="str">
        <x:v>case_04</x:v>
      </x:c>
      <x:c r="B9" s="24" t="str">
        <x:v>Confirmed compatibility warning</x:v>
      </x:c>
      <x:c r="C9" s="20" t="str">
        <x:v>Retrospectively Validated Direction</x:v>
      </x:c>
      <x:c r="D9" s="15" t="str">
        <x:v>Keita Baldé</x:v>
      </x:c>
      <x:c r="E9" s="15" t="str">
        <x:v>Monaco</x:v>
      </x:c>
      <x:c r="F9" s="15" t="str">
        <x:v>Cagliari Calcio</x:v>
      </x:c>
      <x:c r="G9" s="15" t="str">
        <x:v>Forward</x:v>
      </x:c>
      <x:c r="H9" s="15" t="str">
        <x:v>Serie A</x:v>
      </x:c>
      <x:c r="I9" s="30" t="n">
        <x:v>44439</x:v>
      </x:c>
      <x:c r="J9" s="15" t="str">
        <x:v>Transfer</x:v>
      </x:c>
      <x:c r="K9" s="32" t="n">
        <x:v>0</x:v>
      </x:c>
      <x:c r="L9" s="32" t="n">
        <x:v>8000000</x:v>
      </x:c>
      <x:c r="M9" s="34" t="n">
        <x:f>IFERROR(K9/L9,"")</x:f>
        <x:v>0</x:v>
      </x:c>
      <x:c r="N9" s="36" t="n">
        <x:v>0.4952299999145742</x:v>
      </x:c>
      <x:c r="O9" s="36" t="n">
        <x:v>0.4405052442588317</x:v>
      </x:c>
      <x:c r="P9" s="36" t="n">
        <x:f>O9-N9</x:f>
        <x:v>-0.05472475565574253</x:v>
      </x:c>
      <x:c r="Q9" s="36" t="n">
        <x:v>0.369069069069069</x:v>
      </x:c>
      <x:c r="R9" s="36" t="n">
        <x:f>ABS(Q9-N9)-ABS(Q9-O9)</x:f>
        <x:v>0.05472475565574253</x:v>
      </x:c>
      <x:c r="S9" s="15" t="b">
        <x:f>R9&gt;0</x:f>
        <x:v>1</x:v>
      </x:c>
      <x:c r="T9" s="36" t="n">
        <x:v>0.4359132257871667</x:v>
      </x:c>
      <x:c r="U9" s="36" t="n">
        <x:v>0.2186267884684521</x:v>
      </x:c>
      <x:c r="V9" s="36" t="n">
        <x:f>U9-T9</x:f>
        <x:v>-0.21728643731871458</x:v>
      </x:c>
      <x:c r="W9" s="36" t="n">
        <x:v>-0.2689925277828365</x:v>
      </x:c>
      <x:c r="X9" s="36" t="n">
        <x:f>ABS(W9-T9)-ABS(W9-U9)</x:f>
        <x:v>0.21728643731871455</x:v>
      </x:c>
      <x:c r="Y9" s="15" t="b">
        <x:f>X9&gt;0</x:f>
        <x:v>1</x:v>
      </x:c>
      <x:c r="Z9" s="15" t="n">
        <x:f>--S9+--Y9</x:f>
        <x:v>2</x:v>
      </x:c>
      <x:c r="AA9" s="38" t="n">
        <x:v>80.86673779920233</x:v>
      </x:c>
      <x:c r="AB9" s="38" t="n">
        <x:v>80.91603207312936</x:v>
      </x:c>
      <x:c r="AC9" s="36" t="n">
        <x:v>-0.644191349316878</x:v>
      </x:c>
      <x:c r="AD9" s="36" t="n">
        <x:v>0.4104178970744478</x:v>
      </x:c>
      <x:c r="AE9" s="20" t="str">
        <x:v>Passing control; Creation</x:v>
      </x:c>
      <x:c r="AF9" s="20" t="str">
        <x:v>Scoring threat; Dribble aggression</x:v>
      </x:c>
      <x:c r="AG9" s="20" t="str">
        <x:v>Confirmed compatibility warning: Compatibility features lowered both forecasts and more accurately anticipated below-baseline destination outcomes. Opportunity realized as rotation usage; performance realized as near role average.</x:v>
      </x:c>
      <x:c r="AH9" s="16" t="b">
        <x:v>0</x:v>
      </x:c>
    </x:row>
    <x:row r="10" ht="38" customHeight="1">
      <x:c r="A10" s="17" t="str">
        <x:v>case_05</x:v>
      </x:c>
      <x:c r="B10" s="24" t="str">
        <x:v>Confirmed compatibility warning</x:v>
      </x:c>
      <x:c r="C10" s="19" t="str">
        <x:v>Retrospectively Validated Direction</x:v>
      </x:c>
      <x:c r="D10" s="17" t="str">
        <x:v>Philippe Coutinho</x:v>
      </x:c>
      <x:c r="E10" s="17" t="str">
        <x:v>Barcelona</x:v>
      </x:c>
      <x:c r="F10" s="17" t="str">
        <x:v>Aston Villa</x:v>
      </x:c>
      <x:c r="G10" s="17" t="str">
        <x:v>Midfielder</x:v>
      </x:c>
      <x:c r="H10" s="17" t="str">
        <x:v>Premier League</x:v>
      </x:c>
      <x:c r="I10" s="29" t="n">
        <x:v>44743</x:v>
      </x:c>
      <x:c r="J10" s="17" t="str">
        <x:v>Transfer</x:v>
      </x:c>
      <x:c r="K10" s="31" t="n">
        <x:v>20000000</x:v>
      </x:c>
      <x:c r="L10" s="31" t="n">
        <x:v>20000000</x:v>
      </x:c>
      <x:c r="M10" s="33" t="n">
        <x:f>IFERROR(K10/L10,"")</x:f>
        <x:v>1</x:v>
      </x:c>
      <x:c r="N10" s="35" t="n">
        <x:v>0.6227747464632976</x:v>
      </x:c>
      <x:c r="O10" s="35" t="n">
        <x:v>0.4745050725845902</x:v>
      </x:c>
      <x:c r="P10" s="35" t="n">
        <x:f>O10-N10</x:f>
        <x:v>-0.14826967387870738</x:v>
      </x:c>
      <x:c r="Q10" s="35" t="n">
        <x:v>0.2304093567251462</x:v>
      </x:c>
      <x:c r="R10" s="35" t="n">
        <x:f>ABS(Q10-N10)-ABS(Q10-O10)</x:f>
        <x:v>0.1482696738787074</x:v>
      </x:c>
      <x:c r="S10" s="17" t="b">
        <x:f>R10&gt;0</x:f>
        <x:v>1</x:v>
      </x:c>
      <x:c r="T10" s="35" t="n">
        <x:v>0.2837276327541032</x:v>
      </x:c>
      <x:c r="U10" s="35" t="n">
        <x:v>0.2215318953297137</x:v>
      </x:c>
      <x:c r="V10" s="35" t="n">
        <x:f>U10-T10</x:f>
        <x:v>-0.06219573742438947</x:v>
      </x:c>
      <x:c r="W10" s="35" t="n">
        <x:v>0.0189460447791729</x:v>
      </x:c>
      <x:c r="X10" s="35" t="n">
        <x:f>ABS(W10-T10)-ABS(W10-U10)</x:f>
        <x:v>0.06219573742438947</x:v>
      </x:c>
      <x:c r="Y10" s="17" t="b">
        <x:f>X10&gt;0</x:f>
        <x:v>1</x:v>
      </x:c>
      <x:c r="Z10" s="17" t="n">
        <x:f>--S10+--Y10</x:f>
        <x:v>2</x:v>
      </x:c>
      <x:c r="AA10" s="37" t="n">
        <x:v>58.638688572317896</x:v>
      </x:c>
      <x:c r="AB10" s="37" t="n">
        <x:v>57.48711250011464</x:v>
      </x:c>
      <x:c r="AC10" s="35" t="n">
        <x:v>-0.3601106926998806</x:v>
      </x:c>
      <x:c r="AD10" s="35" t="n">
        <x:v>0.6113601094987705</x:v>
      </x:c>
      <x:c r="AE10" s="19" t="str">
        <x:v>Passing control; Defensive intensity</x:v>
      </x:c>
      <x:c r="AF10" s="19" t="str">
        <x:v>Scoring threat; Progression</x:v>
      </x:c>
      <x:c r="AG10" s="19" t="str">
        <x:v>Confirmed compatibility warning: Compatibility features lowered both forecasts and more accurately anticipated below-baseline destination outcomes. Opportunity realized as limited usage; performance realized as near role average.</x:v>
      </x:c>
      <x:c r="AH10" s="18" t="b">
        <x:v>0</x:v>
      </x:c>
    </x:row>
    <x:row r="11" ht="38" customHeight="1">
      <x:c r="A11" s="15" t="str">
        <x:v>case_06</x:v>
      </x:c>
      <x:c r="B11" s="26" t="str">
        <x:v>Validated target trade-off</x:v>
      </x:c>
      <x:c r="C11" s="20" t="str">
        <x:v>Retrospectively Validated Direction</x:v>
      </x:c>
      <x:c r="D11" s="15" t="str">
        <x:v>Faride Alidou</x:v>
      </x:c>
      <x:c r="E11" s="15" t="str">
        <x:v>Frankfurt</x:v>
      </x:c>
      <x:c r="F11" s="15" t="str">
        <x:v>1.FC Köln</x:v>
      </x:c>
      <x:c r="G11" s="15" t="str">
        <x:v>Forward</x:v>
      </x:c>
      <x:c r="H11" s="15" t="str">
        <x:v>Bundesliga</x:v>
      </x:c>
      <x:c r="I11" s="30" t="n">
        <x:v>45159</x:v>
      </x:c>
      <x:c r="J11" s="15" t="str">
        <x:v>Loan</x:v>
      </x:c>
      <x:c r="K11" s="32" t="n">
        <x:v>0</x:v>
      </x:c>
      <x:c r="L11" s="32" t="n">
        <x:v>2500000</x:v>
      </x:c>
      <x:c r="M11" s="34" t="n">
        <x:f>IFERROR(K11/L11,"")</x:f>
        <x:v>0</x:v>
      </x:c>
      <x:c r="N11" s="36" t="n">
        <x:v>0.3422189186180057</x:v>
      </x:c>
      <x:c r="O11" s="36" t="n">
        <x:v>0.3791800431329217</x:v>
      </x:c>
      <x:c r="P11" s="36" t="n">
        <x:f>O11-N11</x:f>
        <x:v>0.03696112451491601</x:v>
      </x:c>
      <x:c r="Q11" s="36" t="n">
        <x:v>0.4189542483660131</x:v>
      </x:c>
      <x:c r="R11" s="36" t="n">
        <x:f>ABS(Q11-N11)-ABS(Q11-O11)</x:f>
        <x:v>0.03696112451491601</x:v>
      </x:c>
      <x:c r="S11" s="15" t="b">
        <x:f>R11&gt;0</x:f>
        <x:v>1</x:v>
      </x:c>
      <x:c r="T11" s="36" t="n">
        <x:v>0.1780432839640348</x:v>
      </x:c>
      <x:c r="U11" s="36" t="n">
        <x:v>0.0962885029782607</x:v>
      </x:c>
      <x:c r="V11" s="36" t="n">
        <x:f>U11-T11</x:f>
        <x:v>-0.08175478098577409</x:v>
      </x:c>
      <x:c r="W11" s="36" t="n">
        <x:v>-0.2906456254362946</x:v>
      </x:c>
      <x:c r="X11" s="36" t="n">
        <x:f>ABS(W11-T11)-ABS(W11-U11)</x:f>
        <x:v>0.0817547809857741</x:v>
      </x:c>
      <x:c r="Y11" s="15" t="b">
        <x:f>X11&gt;0</x:f>
        <x:v>1</x:v>
      </x:c>
      <x:c r="Z11" s="15" t="n">
        <x:f>--S11+--Y11</x:f>
        <x:v>2</x:v>
      </x:c>
      <x:c r="AA11" s="38"/>
      <x:c r="AB11" s="38" t="n">
        <x:v>79.24260631087769</x:v>
      </x:c>
      <x:c r="AC11" s="36" t="n">
        <x:v>-0.2405299055745076</x:v>
      </x:c>
      <x:c r="AD11" s="36" t="n">
        <x:v>1.1588889442726744</x:v>
      </x:c>
      <x:c r="AE11" s="20" t="str">
        <x:v>Directness; Defensive intensity</x:v>
      </x:c>
      <x:c r="AF11" s="20" t="str">
        <x:v>Creation; Dribble aggression</x:v>
      </x:c>
      <x:c r="AG11" s="20" t="str">
        <x:v>Validated target trade-off: Compatibility features moved opportunity and performance in opposite directions and improved both forecasts, exposing a useful usage-versus-quality trade-off. Opportunity realized as rotation usage; performance realized as near role average.</x:v>
      </x:c>
      <x:c r="AH11" s="16" t="b">
        <x:v>1</x:v>
      </x:c>
    </x:row>
    <x:row r="12" ht="38" customHeight="1">
      <x:c r="A12" s="17" t="str">
        <x:v>case_07</x:v>
      </x:c>
      <x:c r="B12" s="26" t="str">
        <x:v>Validated target trade-off</x:v>
      </x:c>
      <x:c r="C12" s="19" t="str">
        <x:v>Retrospectively Validated Direction</x:v>
      </x:c>
      <x:c r="D12" s="17" t="str">
        <x:v>Oriol Romeu</x:v>
      </x:c>
      <x:c r="E12" s="17" t="str">
        <x:v>Girona</x:v>
      </x:c>
      <x:c r="F12" s="17" t="str">
        <x:v>FC Barcelona</x:v>
      </x:c>
      <x:c r="G12" s="17" t="str">
        <x:v>Midfielder</x:v>
      </x:c>
      <x:c r="H12" s="17" t="str">
        <x:v>La Liga</x:v>
      </x:c>
      <x:c r="I12" s="29" t="n">
        <x:v>45126</x:v>
      </x:c>
      <x:c r="J12" s="17" t="str">
        <x:v>Transfer</x:v>
      </x:c>
      <x:c r="K12" s="31" t="n">
        <x:v>3400000</x:v>
      </x:c>
      <x:c r="L12" s="31" t="n">
        <x:v>5000000</x:v>
      </x:c>
      <x:c r="M12" s="33" t="n">
        <x:f>IFERROR(K12/L12,"")</x:f>
        <x:v>0.68</x:v>
      </x:c>
      <x:c r="N12" s="35" t="n">
        <x:v>0.5768572170560072</x:v>
      </x:c>
      <x:c r="O12" s="35" t="n">
        <x:v>0.5236354469586783</x:v>
      </x:c>
      <x:c r="P12" s="35" t="n">
        <x:f>O12-N12</x:f>
        <x:v>-0.05322177009732898</x:v>
      </x:c>
      <x:c r="Q12" s="35" t="n">
        <x:v>0.2810810810810811</x:v>
      </x:c>
      <x:c r="R12" s="35" t="n">
        <x:f>ABS(Q12-N12)-ABS(Q12-O12)</x:f>
        <x:v>0.05322177009732898</x:v>
      </x:c>
      <x:c r="S12" s="17" t="b">
        <x:f>R12&gt;0</x:f>
        <x:v>1</x:v>
      </x:c>
      <x:c r="T12" s="35" t="n">
        <x:v>-0.2016512641104181</x:v>
      </x:c>
      <x:c r="U12" s="35" t="n">
        <x:v>-0.0531345165922204</x:v>
      </x:c>
      <x:c r="V12" s="35" t="n">
        <x:f>U12-T12</x:f>
        <x:v>0.14851674751819768</x:v>
      </x:c>
      <x:c r="W12" s="35" t="n">
        <x:v>0.0424009057521834</x:v>
      </x:c>
      <x:c r="X12" s="35" t="n">
        <x:f>ABS(W12-T12)-ABS(W12-U12)</x:f>
        <x:v>0.14851674751819768</x:v>
      </x:c>
      <x:c r="Y12" s="17" t="b">
        <x:f>X12&gt;0</x:f>
        <x:v>1</x:v>
      </x:c>
      <x:c r="Z12" s="17" t="n">
        <x:f>--S12+--Y12</x:f>
        <x:v>2</x:v>
      </x:c>
      <x:c r="AA12" s="37" t="n">
        <x:v>61.36865067898329</x:v>
      </x:c>
      <x:c r="AB12" s="37" t="n">
        <x:v>61.22287692868633</x:v>
      </x:c>
      <x:c r="AC12" s="35" t="n">
        <x:v>-0.1827875648316985</x:v>
      </x:c>
      <x:c r="AD12" s="35" t="n">
        <x:v>0.6388457419987591</x:v>
      </x:c>
      <x:c r="AE12" s="19" t="str">
        <x:v>Passing control; Aerial physicality</x:v>
      </x:c>
      <x:c r="AF12" s="19" t="str">
        <x:v>Progression; Creation</x:v>
      </x:c>
      <x:c r="AG12" s="19" t="str">
        <x:v>Validated target trade-off: Compatibility features moved opportunity and performance in opposite directions and improved both forecasts, exposing a useful usage-versus-quality trade-off. Opportunity realized as limited usage; performance realized as near role average.</x:v>
      </x:c>
      <x:c r="AH12" s="18" t="b">
        <x:v>0</x:v>
      </x:c>
    </x:row>
    <x:row r="13" ht="38" customHeight="1">
      <x:c r="A13" s="15" t="str">
        <x:v>case_08</x:v>
      </x:c>
      <x:c r="B13" s="28" t="str">
        <x:v>False-positive compatibility signal</x:v>
      </x:c>
      <x:c r="C13" s="20" t="str">
        <x:v>Documented Model Failure</x:v>
      </x:c>
      <x:c r="D13" s="15" t="str">
        <x:v>Aridane Hernández</x:v>
      </x:c>
      <x:c r="E13" s="15" t="str">
        <x:v>CA Osasuna</x:v>
      </x:c>
      <x:c r="F13" s="15" t="str">
        <x:v>Rayo Vallecano</x:v>
      </x:c>
      <x:c r="G13" s="15" t="str">
        <x:v>Defender</x:v>
      </x:c>
      <x:c r="H13" s="15" t="str">
        <x:v>La Liga</x:v>
      </x:c>
      <x:c r="I13" s="30" t="n">
        <x:v>45112</x:v>
      </x:c>
      <x:c r="J13" s="15" t="str">
        <x:v>Transfer</x:v>
      </x:c>
      <x:c r="K13" s="32" t="n">
        <x:v>0</x:v>
      </x:c>
      <x:c r="L13" s="32" t="n">
        <x:v>1000000</x:v>
      </x:c>
      <x:c r="M13" s="34" t="n">
        <x:f>IFERROR(K13/L13,"")</x:f>
        <x:v>0</x:v>
      </x:c>
      <x:c r="N13" s="36" t="n">
        <x:v>0.4966384655649855</x:v>
      </x:c>
      <x:c r="O13" s="36" t="n">
        <x:v>0.5518897268102109</x:v>
      </x:c>
      <x:c r="P13" s="36" t="n">
        <x:f>O13-N13</x:f>
        <x:v>0.05525126124522539</x:v>
      </x:c>
      <x:c r="Q13" s="36" t="n">
        <x:v>0.5075075075075075</x:v>
      </x:c>
      <x:c r="R13" s="36" t="n">
        <x:f>ABS(Q13-N13)-ABS(Q13-O13)</x:f>
        <x:v>-0.033513177360181334</x:v>
      </x:c>
      <x:c r="S13" s="15" t="b">
        <x:f>R13&gt;0</x:f>
        <x:v>0</x:v>
      </x:c>
      <x:c r="T13" s="36" t="n">
        <x:v>-0.2557504205965145</x:v>
      </x:c>
      <x:c r="U13" s="36" t="n">
        <x:v>-0.1199907429962179</x:v>
      </x:c>
      <x:c r="V13" s="36" t="n">
        <x:f>U13-T13</x:f>
        <x:v>0.13575967760029659</x:v>
      </x:c>
      <x:c r="W13" s="36" t="n">
        <x:v>-0.4059393287007372</x:v>
      </x:c>
      <x:c r="X13" s="36" t="n">
        <x:f>ABS(W13-T13)-ABS(W13-U13)</x:f>
        <x:v>-0.1357596776002966</x:v>
      </x:c>
      <x:c r="Y13" s="15" t="b">
        <x:f>X13&gt;0</x:f>
        <x:v>0</x:v>
      </x:c>
      <x:c r="Z13" s="15" t="n">
        <x:f>--S13+--Y13</x:f>
        <x:v>0</x:v>
      </x:c>
      <x:c r="AA13" s="38" t="n">
        <x:v>84.52465015377192</x:v>
      </x:c>
      <x:c r="AB13" s="38" t="n">
        <x:v>84.55375210848788</x:v>
      </x:c>
      <x:c r="AC13" s="36" t="n">
        <x:v>-0.0294136284593745</x:v>
      </x:c>
      <x:c r="AD13" s="36" t="n">
        <x:v>0.4524183430948271</x:v>
      </x:c>
      <x:c r="AE13" s="20" t="str">
        <x:v>Passing control; Defensive intensity</x:v>
      </x:c>
      <x:c r="AF13" s="20" t="str">
        <x:v>Aerial physicality; Progression</x:v>
      </x:c>
      <x:c r="AG13" s="20" t="str">
        <x:v>False-positive compatibility signal: Compatibility features raised both forecasts, but the realized outcomes did not support the optimism and both predictions became less accurate. Opportunity realized as rotation usage; performance realized as near role average.</x:v>
      </x:c>
      <x:c r="AH13" s="16" t="b">
        <x:v>0</x:v>
      </x:c>
    </x:row>
    <x:row r="14" ht="38" customHeight="1">
      <x:c r="A14" s="17" t="str">
        <x:v>case_09</x:v>
      </x:c>
      <x:c r="B14" s="28" t="str">
        <x:v>False-positive compatibility signal</x:v>
      </x:c>
      <x:c r="C14" s="19" t="str">
        <x:v>Documented Model Failure</x:v>
      </x:c>
      <x:c r="D14" s="17" t="str">
        <x:v>Yayah Kallon</x:v>
      </x:c>
      <x:c r="E14" s="17" t="str">
        <x:v>Genoa</x:v>
      </x:c>
      <x:c r="F14" s="17" t="str">
        <x:v>Hellas Verona</x:v>
      </x:c>
      <x:c r="G14" s="17" t="str">
        <x:v>Midfielder</x:v>
      </x:c>
      <x:c r="H14" s="17" t="str">
        <x:v>Serie A</x:v>
      </x:c>
      <x:c r="I14" s="29" t="n">
        <x:v>44799</x:v>
      </x:c>
      <x:c r="J14" s="17" t="str">
        <x:v>Loan</x:v>
      </x:c>
      <x:c r="K14" s="31" t="n">
        <x:v>0</x:v>
      </x:c>
      <x:c r="L14" s="31" t="n">
        <x:v>1500000</x:v>
      </x:c>
      <x:c r="M14" s="33" t="n">
        <x:f>IFERROR(K14/L14,"")</x:f>
        <x:v>0</x:v>
      </x:c>
      <x:c r="N14" s="35" t="n">
        <x:v>0.2301612517308314</x:v>
      </x:c>
      <x:c r="O14" s="35" t="n">
        <x:v>0.3327693146992425</x:v>
      </x:c>
      <x:c r="P14" s="35" t="n">
        <x:f>O14-N14</x:f>
        <x:v>0.10260806296841107</x:v>
      </x:c>
      <x:c r="Q14" s="35" t="n">
        <x:v>0.2582582582582582</x:v>
      </x:c>
      <x:c r="R14" s="35" t="n">
        <x:f>ABS(Q14-N14)-ABS(Q14-O14)</x:f>
        <x:v>-0.046414049913557465</x:v>
      </x:c>
      <x:c r="S14" s="17" t="b">
        <x:f>R14&gt;0</x:f>
        <x:v>0</x:v>
      </x:c>
      <x:c r="T14" s="35" t="n">
        <x:v>-0.0462866282874666</x:v>
      </x:c>
      <x:c r="U14" s="35" t="n">
        <x:v>0.0250889980818659</x:v>
      </x:c>
      <x:c r="V14" s="35" t="n">
        <x:f>U14-T14</x:f>
        <x:v>0.0713756263693325</x:v>
      </x:c>
      <x:c r="W14" s="35" t="n">
        <x:v>-0.0488668645685657</x:v>
      </x:c>
      <x:c r="X14" s="35" t="n">
        <x:f>ABS(W14-T14)-ABS(W14-U14)</x:f>
        <x:v>-0.0713756263693325</x:v>
      </x:c>
      <x:c r="Y14" s="17" t="b">
        <x:f>X14&gt;0</x:f>
        <x:v>0</x:v>
      </x:c>
      <x:c r="Z14" s="17" t="n">
        <x:f>--S14+--Y14</x:f>
        <x:v>0</x:v>
      </x:c>
      <x:c r="AA14" s="37"/>
      <x:c r="AB14" s="37" t="n">
        <x:v>67.812591144312</x:v>
      </x:c>
      <x:c r="AC14" s="35" t="n">
        <x:v>-0.1749126108538832</x:v>
      </x:c>
      <x:c r="AD14" s="35" t="n">
        <x:v>0.4366124590404112</x:v>
      </x:c>
      <x:c r="AE14" s="19" t="str">
        <x:v>Dribble aggression; Progression</x:v>
      </x:c>
      <x:c r="AF14" s="19" t="str">
        <x:v>Scoring threat; Defensive intensity</x:v>
      </x:c>
      <x:c r="AG14" s="19" t="str">
        <x:v>False-positive compatibility signal: Compatibility features raised both forecasts, but the realized outcomes did not support the optimism and both predictions became less accurate. Opportunity realized as limited usage; performance realized as near role average.</x:v>
      </x:c>
      <x:c r="AH14" s="18" t="b">
        <x:v>0</x:v>
      </x:c>
    </x:row>
    <x:row r="15" ht="38" customHeight="1">
      <x:c r="A15" s="15" t="str">
        <x:v>case_10</x:v>
      </x:c>
      <x:c r="B15" s="28" t="str">
        <x:v>False-negative compatibility warning</x:v>
      </x:c>
      <x:c r="C15" s="20" t="str">
        <x:v>Documented Model Failure</x:v>
      </x:c>
      <x:c r="D15" s="15" t="str">
        <x:v>Lucas Perrin</x:v>
      </x:c>
      <x:c r="E15" s="15" t="str">
        <x:v>Marseille</x:v>
      </x:c>
      <x:c r="F15" s="15" t="str">
        <x:v>RC Strasbourg Alsace</x:v>
      </x:c>
      <x:c r="G15" s="15" t="str">
        <x:v>Defender</x:v>
      </x:c>
      <x:c r="H15" s="15" t="str">
        <x:v>Ligue 1</x:v>
      </x:c>
      <x:c r="I15" s="30" t="n">
        <x:v>44391</x:v>
      </x:c>
      <x:c r="J15" s="15" t="str">
        <x:v>Loan</x:v>
      </x:c>
      <x:c r="K15" s="32" t="n">
        <x:v>0</x:v>
      </x:c>
      <x:c r="L15" s="32" t="n">
        <x:v>1800000</x:v>
      </x:c>
      <x:c r="M15" s="34" t="n">
        <x:f>IFERROR(K15/L15,"")</x:f>
        <x:v>0</x:v>
      </x:c>
      <x:c r="N15" s="36" t="n">
        <x:v>0.4818343556934154</x:v>
      </x:c>
      <x:c r="O15" s="36" t="n">
        <x:v>0.41067655624305</x:v>
      </x:c>
      <x:c r="P15" s="36" t="n">
        <x:f>O15-N15</x:f>
        <x:v>-0.07115779945036538</x:v>
      </x:c>
      <x:c r="Q15" s="36" t="n">
        <x:v>0.7513513513513513</x:v>
      </x:c>
      <x:c r="R15" s="36" t="n">
        <x:f>ABS(Q15-N15)-ABS(Q15-O15)</x:f>
        <x:v>-0.07115779945036538</x:v>
      </x:c>
      <x:c r="S15" s="15" t="b">
        <x:f>R15&gt;0</x:f>
        <x:v>0</x:v>
      </x:c>
      <x:c r="T15" s="36" t="n">
        <x:v>0.1880523222383028</x:v>
      </x:c>
      <x:c r="U15" s="36" t="n">
        <x:v>0.0683535792056205</x:v>
      </x:c>
      <x:c r="V15" s="36" t="n">
        <x:f>U15-T15</x:f>
        <x:v>-0.11969874303268228</x:v>
      </x:c>
      <x:c r="W15" s="36" t="n">
        <x:v>0.183594828245179</x:v>
      </x:c>
      <x:c r="X15" s="36" t="n">
        <x:f>ABS(W15-T15)-ABS(W15-U15)</x:f>
        <x:v>-0.11078375504643471</x:v>
      </x:c>
      <x:c r="Y15" s="15" t="b">
        <x:f>X15&gt;0</x:f>
        <x:v>0</x:v>
      </x:c>
      <x:c r="Z15" s="15" t="n">
        <x:f>--S15+--Y15</x:f>
        <x:v>0</x:v>
      </x:c>
      <x:c r="AA15" s="38" t="n">
        <x:v>83.98274859995244</x:v>
      </x:c>
      <x:c r="AB15" s="38" t="n">
        <x:v>83.72656291748439</x:v>
      </x:c>
      <x:c r="AC15" s="36" t="n">
        <x:v>0.3231944842165064</x:v>
      </x:c>
      <x:c r="AD15" s="36" t="n">
        <x:v>0.6111448142530302</x:v>
      </x:c>
      <x:c r="AE15" s="20" t="str">
        <x:v>Dribble aggression; Defensive intensity</x:v>
      </x:c>
      <x:c r="AF15" s="20" t="str">
        <x:v>Scoring threat; Passing control</x:v>
      </x:c>
      <x:c r="AG15" s="20" t="str">
        <x:v>False-negative compatibility warning: Compatibility features lowered both forecasts, but the realized outcomes exceeded the baseline expectation and both predictions became less accurate. Opportunity realized as high usage; performance realized as near role average.</x:v>
      </x:c>
      <x:c r="AH15" s="16" t="b">
        <x:v>1</x:v>
      </x:c>
    </x:row>
    <x:row r="16" ht="38" customHeight="1">
      <x:c r="A16" s="17" t="str">
        <x:v>case_11</x:v>
      </x:c>
      <x:c r="B16" s="28" t="str">
        <x:v>False-negative compatibility warning</x:v>
      </x:c>
      <x:c r="C16" s="19" t="str">
        <x:v>Documented Model Failure</x:v>
      </x:c>
      <x:c r="D16" s="17" t="str">
        <x:v>Gaëtan Laborde</x:v>
      </x:c>
      <x:c r="E16" s="17" t="str">
        <x:v>Stade Rennais</x:v>
      </x:c>
      <x:c r="F16" s="17" t="str">
        <x:v>OGC Nice</x:v>
      </x:c>
      <x:c r="G16" s="17" t="str">
        <x:v>Forward</x:v>
      </x:c>
      <x:c r="H16" s="17" t="str">
        <x:v>Ligue 1</x:v>
      </x:c>
      <x:c r="I16" s="29" t="n">
        <x:v>44805</x:v>
      </x:c>
      <x:c r="J16" s="17" t="str">
        <x:v>Transfer</x:v>
      </x:c>
      <x:c r="K16" s="31" t="n">
        <x:v>15000000</x:v>
      </x:c>
      <x:c r="L16" s="31" t="n">
        <x:v>18000000</x:v>
      </x:c>
      <x:c r="M16" s="33" t="n">
        <x:f>IFERROR(K16/L16,"")</x:f>
        <x:v>0.8333333333333334</x:v>
      </x:c>
      <x:c r="N16" s="35" t="n">
        <x:v>0.633775155689442</x:v>
      </x:c>
      <x:c r="O16" s="35" t="n">
        <x:v>0.547162895339225</x:v>
      </x:c>
      <x:c r="P16" s="35" t="n">
        <x:f>O16-N16</x:f>
        <x:v>-0.08661226035021696</x:v>
      </x:c>
      <x:c r="Q16" s="35" t="n">
        <x:v>0.7525525525525526</x:v>
      </x:c>
      <x:c r="R16" s="35" t="n">
        <x:f>ABS(Q16-N16)-ABS(Q16-O16)</x:f>
        <x:v>-0.08661226035021696</x:v>
      </x:c>
      <x:c r="S16" s="17" t="b">
        <x:f>R16&gt;0</x:f>
        <x:v>0</x:v>
      </x:c>
      <x:c r="T16" s="35" t="n">
        <x:v>0.0714006401776116</x:v>
      </x:c>
      <x:c r="U16" s="35" t="n">
        <x:v>0.0591551498676849</x:v>
      </x:c>
      <x:c r="V16" s="35" t="n">
        <x:f>U16-T16</x:f>
        <x:v>-0.012245490309926693</x:v>
      </x:c>
      <x:c r="W16" s="35" t="n">
        <x:v>0.2475454724224724</x:v>
      </x:c>
      <x:c r="X16" s="35" t="n">
        <x:f>ABS(W16-T16)-ABS(W16-U16)</x:f>
        <x:v>-0.012245490309926665</x:v>
      </x:c>
      <x:c r="Y16" s="17" t="b">
        <x:f>X16&gt;0</x:f>
        <x:v>0</x:v>
      </x:c>
      <x:c r="Z16" s="17" t="n">
        <x:f>--S16+--Y16</x:f>
        <x:v>0</x:v>
      </x:c>
      <x:c r="AA16" s="37" t="n">
        <x:v>91.1486024907689</x:v>
      </x:c>
      <x:c r="AB16" s="37" t="n">
        <x:v>91.03737629197416</x:v>
      </x:c>
      <x:c r="AC16" s="35" t="n">
        <x:v>-0.345933699446562</x:v>
      </x:c>
      <x:c r="AD16" s="35" t="n">
        <x:v>0.2960761214416499</x:v>
      </x:c>
      <x:c r="AE16" s="19" t="str">
        <x:v>Creation; Defensive intensity</x:v>
      </x:c>
      <x:c r="AF16" s="19" t="str">
        <x:v>Aerial physicality; Scoring threat</x:v>
      </x:c>
      <x:c r="AG16" s="19" t="str">
        <x:v>False-negative compatibility warning: Compatibility features lowered both forecasts, but the realized outcomes exceeded the baseline expectation and both predictions became less accurate. Opportunity realized as high usage; performance realized as near role average.</x:v>
      </x:c>
      <x:c r="AH16" s="18" t="b">
        <x:v>1</x:v>
      </x:c>
    </x:row>
    <x:row r="17" ht="38" customHeight="1">
      <x:c r="A17" s="15" t="str">
        <x:v>case_12</x:v>
      </x:c>
      <x:c r="B17" s="28" t="str">
        <x:v>False-negative compatibility warning</x:v>
      </x:c>
      <x:c r="C17" s="20" t="str">
        <x:v>Documented Model Failure</x:v>
      </x:c>
      <x:c r="D17" s="15" t="str">
        <x:v>Antonio Candreva</x:v>
      </x:c>
      <x:c r="E17" s="15" t="str">
        <x:v>Sampdoria</x:v>
      </x:c>
      <x:c r="F17" s="15" t="str">
        <x:v>US Salernitana 1919</x:v>
      </x:c>
      <x:c r="G17" s="15" t="str">
        <x:v>Midfielder</x:v>
      </x:c>
      <x:c r="H17" s="15" t="str">
        <x:v>Serie A</x:v>
      </x:c>
      <x:c r="I17" s="30" t="n">
        <x:v>45108</x:v>
      </x:c>
      <x:c r="J17" s="15" t="str">
        <x:v>Transfer</x:v>
      </x:c>
      <x:c r="K17" s="32" t="n">
        <x:v>500000</x:v>
      </x:c>
      <x:c r="L17" s="32" t="n">
        <x:v>1500000</x:v>
      </x:c>
      <x:c r="M17" s="34" t="n">
        <x:f>IFERROR(K17/L17,"")</x:f>
        <x:v>0.3333333333333333</x:v>
      </x:c>
      <x:c r="N17" s="36" t="n">
        <x:v>0.616843082119746</x:v>
      </x:c>
      <x:c r="O17" s="36" t="n">
        <x:v>0.5891747155850422</x:v>
      </x:c>
      <x:c r="P17" s="36" t="n">
        <x:f>O17-N17</x:f>
        <x:v>-0.027668366534703837</x:v>
      </x:c>
      <x:c r="Q17" s="36" t="n">
        <x:v>0.8986928104575164</x:v>
      </x:c>
      <x:c r="R17" s="36" t="n">
        <x:f>ABS(Q17-N17)-ABS(Q17-O17)</x:f>
        <x:v>-0.027668366534703837</x:v>
      </x:c>
      <x:c r="S17" s="15" t="b">
        <x:f>R17&gt;0</x:f>
        <x:v>0</x:v>
      </x:c>
      <x:c r="T17" s="36" t="n">
        <x:v>0.116485965333426</x:v>
      </x:c>
      <x:c r="U17" s="36" t="n">
        <x:v>0.0131188011111127</x:v>
      </x:c>
      <x:c r="V17" s="36" t="n">
        <x:f>U17-T17</x:f>
        <x:v>-0.1033671642223133</x:v>
      </x:c>
      <x:c r="W17" s="36" t="n">
        <x:v>0.1326601085789186</x:v>
      </x:c>
      <x:c r="X17" s="36" t="n">
        <x:f>ABS(W17-T17)-ABS(W17-U17)</x:f>
        <x:v>-0.1033671642223133</x:v>
      </x:c>
      <x:c r="Y17" s="15" t="b">
        <x:f>X17&gt;0</x:f>
        <x:v>0</x:v>
      </x:c>
      <x:c r="Z17" s="15" t="n">
        <x:f>--S17+--Y17</x:f>
        <x:v>0</x:v>
      </x:c>
      <x:c r="AA17" s="38" t="n">
        <x:v>81.70679141396107</x:v>
      </x:c>
      <x:c r="AB17" s="38" t="n">
        <x:v>81.78222496748087</x:v>
      </x:c>
      <x:c r="AC17" s="36" t="n">
        <x:v>-0.2756670784925881</x:v>
      </x:c>
      <x:c r="AD17" s="36" t="n">
        <x:v>0.4488853288119264</x:v>
      </x:c>
      <x:c r="AE17" s="20" t="str">
        <x:v>Passing control; Dribble aggression</x:v>
      </x:c>
      <x:c r="AF17" s="20" t="str">
        <x:v>Creation; Progression</x:v>
      </x:c>
      <x:c r="AG17" s="20" t="str">
        <x:v>False-negative compatibility warning: Compatibility features lowered both forecasts, but the realized outcomes exceeded the baseline expectation and both predictions became less accurate. Opportunity realized as high usage; performance realized as near role average.</x:v>
      </x:c>
      <x:c r="AH17" s="16" t="b">
        <x:v>0</x:v>
      </x:c>
    </x:row>
  </x:sheetData>
  <x:mergeCells>
    <x:mergeCell ref="A1:AH2"/>
    <x:mergeCell ref="A3:AH3"/>
  </x:mergeCells>
  <x:conditionalFormatting sqref="P6:P1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R6:R17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V6:V17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X6:X17">
    <x:cfRule type="cellIs" dxfId="6" priority="7" operator="greaterThan">
      <x:formula>0</x:formula>
    </x:cfRule>
    <x:cfRule type="cellIs" dxfId="7" priority="8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f4d6db823d43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4" hidden="0" customWidth="1"/>
    <x:col min="4" max="4" width="24" hidden="0" customWidth="1"/>
    <x:col min="5" max="5" width="25" hidden="0" customWidth="1"/>
    <x:col min="6" max="6" width="15" hidden="0" customWidth="1"/>
    <x:col min="7" max="7" width="28" hidden="0" customWidth="1"/>
    <x:col min="8" max="8" width="20" hidden="0" customWidth="1"/>
    <x:col min="9" max="9" width="24" hidden="0" customWidth="1"/>
    <x:col min="10" max="10" width="18" hidden="0" customWidth="1"/>
    <x:col min="11" max="11" width="21" hidden="0" customWidth="1"/>
    <x:col min="12" max="12" width="18" hidden="0" customWidth="1"/>
    <x:col min="13" max="13" width="17" hidden="0" customWidth="1"/>
    <x:col min="14" max="14" width="19" hidden="0" customWidth="1"/>
    <x:col min="15" max="15" width="18" hidden="0" customWidth="1"/>
    <x:col min="16" max="16" width="21" hidden="0" customWidth="1"/>
    <x:col min="17" max="17" width="18" hidden="0" customWidth="1"/>
    <x:col min="18" max="18" width="22" hidden="0" customWidth="1"/>
    <x:col min="19" max="19" width="18" hidden="0" customWidth="1"/>
    <x:col min="20" max="20" width="24" hidden="0" customWidth="1"/>
  </x:cols>
  <x:sheetData>
    <x:row r="1" ht="23" customHeight="1">
      <x:c r="A1" s="3" t="str">
        <x:v>Frozen target predictions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30" customHeight="1">
      <x:c r="A3" s="7" t="str">
        <x:v>Inputs are the verified rolling-origin baseline, compatibility forecast, and realized outcome. Lifts and errors recalculate in-sheet.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</x:row>
    <x:row r="5" ht="34" customHeight="1">
      <x:c r="A5" s="14" t="str">
        <x:v>Lookup Key</x:v>
      </x:c>
      <x:c r="B5" s="14" t="str">
        <x:v>Case ID</x:v>
      </x:c>
      <x:c r="C5" s="14" t="str">
        <x:v>Category</x:v>
      </x:c>
      <x:c r="D5" s="14" t="str">
        <x:v>Player</x:v>
      </x:c>
      <x:c r="E5" s="14" t="str">
        <x:v>Destination</x:v>
      </x:c>
      <x:c r="F5" s="14" t="str">
        <x:v>Target</x:v>
      </x:c>
      <x:c r="G5" s="14" t="str">
        <x:v>Unit</x:v>
      </x:c>
      <x:c r="H5" s="14" t="str">
        <x:v>Candidate Features</x:v>
      </x:c>
      <x:c r="I5" s="14" t="str">
        <x:v>Candidate Model</x:v>
      </x:c>
      <x:c r="J5" s="14" t="str">
        <x:v>Baseline Prediction</x:v>
      </x:c>
      <x:c r="K5" s="14" t="str">
        <x:v>Compatibility Prediction</x:v>
      </x:c>
      <x:c r="L5" s="14" t="str">
        <x:v>Compatibility Lift</x:v>
      </x:c>
      <x:c r="M5" s="14" t="str">
        <x:v>Realized Outcome</x:v>
      </x:c>
      <x:c r="N5" s="14" t="str">
        <x:v>Realized vs Baseline</x:v>
      </x:c>
      <x:c r="O5" s="14" t="str">
        <x:v>Baseline Abs Error</x:v>
      </x:c>
      <x:c r="P5" s="14" t="str">
        <x:v>Compatibility Abs Error</x:v>
      </x:c>
      <x:c r="Q5" s="14" t="str">
        <x:v>Error Improvement</x:v>
      </x:c>
      <x:c r="R5" s="14" t="str">
        <x:v>Compatibility More Accurate?</x:v>
      </x:c>
      <x:c r="S5" s="14" t="str">
        <x:v>Direction Correct?</x:v>
      </x:c>
      <x:c r="T5" s="14" t="str">
        <x:v>Outcome Band</x:v>
      </x:c>
    </x:row>
    <x:row r="6" ht="23" customHeight="1">
      <x:c r="A6" s="19" t="str">
        <x:v>case_01|opportunity</x:v>
      </x:c>
      <x:c r="B6" s="17" t="str">
        <x:v>case_01</x:v>
      </x:c>
      <x:c r="C6" s="19" t="str">
        <x:v>Confirmed Positive</x:v>
      </x:c>
      <x:c r="D6" s="17" t="str">
        <x:v>Craig Dawson</x:v>
      </x:c>
      <x:c r="E6" s="17" t="str">
        <x:v>West Ham United</x:v>
      </x:c>
      <x:c r="F6" s="17" t="str">
        <x:v>Opportunity</x:v>
      </x:c>
      <x:c r="G6" s="19" t="str">
        <x:v>share_0_to_1</x:v>
      </x:c>
      <x:c r="H6" s="19" t="str">
        <x:v>full_explicit_fit</x:v>
      </x:c>
      <x:c r="I6" s="19" t="str">
        <x:v>elastic_net</x:v>
      </x:c>
      <x:c r="J6" s="35" t="n">
        <x:v>0.5123274806885171</x:v>
      </x:c>
      <x:c r="K6" s="35" t="n">
        <x:v>0.5200935740974639</x:v>
      </x:c>
      <x:c r="L6" s="35" t="n">
        <x:f>K6-J6</x:f>
        <x:v>0.00776609340894685</x:v>
      </x:c>
      <x:c r="M6" s="35" t="n">
        <x:v>0.827027027027027</x:v>
      </x:c>
      <x:c r="N6" s="35" t="n">
        <x:f>M6-J6</x:f>
        <x:v>0.31469954633850994</x:v>
      </x:c>
      <x:c r="O6" s="35" t="n">
        <x:f>ABS(M6-J6)</x:f>
        <x:v>0.31469954633850994</x:v>
      </x:c>
      <x:c r="P6" s="35" t="n">
        <x:f>ABS(M6-K6)</x:f>
        <x:v>0.3069334529295631</x:v>
      </x:c>
      <x:c r="Q6" s="35" t="n">
        <x:f>O6-P6</x:f>
        <x:v>0.00776609340894685</x:v>
      </x:c>
      <x:c r="R6" s="17" t="b">
        <x:f>Q6&gt;0</x:f>
        <x:v>1</x:v>
      </x:c>
      <x:c r="S6" s="17" t="b">
        <x:f>SIGN(L6)=SIGN(N6)</x:f>
        <x:v>1</x:v>
      </x:c>
      <x:c r="T6" s="19" t="str">
        <x:v>High Usage</x:v>
      </x:c>
    </x:row>
    <x:row r="7" ht="23" customHeight="1">
      <x:c r="A7" s="20" t="str">
        <x:v>case_01|performance</x:v>
      </x:c>
      <x:c r="B7" s="15" t="str">
        <x:v>case_01</x:v>
      </x:c>
      <x:c r="C7" s="20" t="str">
        <x:v>Confirmed Positive</x:v>
      </x:c>
      <x:c r="D7" s="15" t="str">
        <x:v>Craig Dawson</x:v>
      </x:c>
      <x:c r="E7" s="15" t="str">
        <x:v>West Ham United</x:v>
      </x:c>
      <x:c r="F7" s="15" t="str">
        <x:v>Performance</x:v>
      </x:c>
      <x:c r="G7" s="20" t="str">
        <x:v>role_season_standardized_index</x:v>
      </x:c>
      <x:c r="H7" s="20" t="str">
        <x:v>full_explicit_fit</x:v>
      </x:c>
      <x:c r="I7" s="20" t="str">
        <x:v>gradient_boosted_trees</x:v>
      </x:c>
      <x:c r="J7" s="36" t="n">
        <x:v>-0.1609766596939867</x:v>
      </x:c>
      <x:c r="K7" s="36" t="n">
        <x:v>-0.1388987215312384</x:v>
      </x:c>
      <x:c r="L7" s="36" t="n">
        <x:f>K7-J7</x:f>
        <x:v>0.022077938162748306</x:v>
      </x:c>
      <x:c r="M7" s="36" t="n">
        <x:v>0.0539409100484652</x:v>
      </x:c>
      <x:c r="N7" s="36" t="n">
        <x:f>M7-J7</x:f>
        <x:v>0.2149175697424519</x:v>
      </x:c>
      <x:c r="O7" s="36" t="n">
        <x:f>ABS(M7-J7)</x:f>
        <x:v>0.2149175697424519</x:v>
      </x:c>
      <x:c r="P7" s="36" t="n">
        <x:f>ABS(M7-K7)</x:f>
        <x:v>0.19283963157970357</x:v>
      </x:c>
      <x:c r="Q7" s="36" t="n">
        <x:f>O7-P7</x:f>
        <x:v>0.022077938162748334</x:v>
      </x:c>
      <x:c r="R7" s="15" t="b">
        <x:f>Q7&gt;0</x:f>
        <x:v>1</x:v>
      </x:c>
      <x:c r="S7" s="15" t="b">
        <x:f>SIGN(L7)=SIGN(N7)</x:f>
        <x:v>1</x:v>
      </x:c>
      <x:c r="T7" s="20" t="str">
        <x:v>Near Role Average</x:v>
      </x:c>
    </x:row>
    <x:row r="8" ht="23" customHeight="1">
      <x:c r="A8" s="19" t="str">
        <x:v>case_02|opportunity</x:v>
      </x:c>
      <x:c r="B8" s="17" t="str">
        <x:v>case_02</x:v>
      </x:c>
      <x:c r="C8" s="19" t="str">
        <x:v>Confirmed Positive</x:v>
      </x:c>
      <x:c r="D8" s="17" t="str">
        <x:v>Óscar Rodríguez Arnaiz</x:v>
      </x:c>
      <x:c r="E8" s="17" t="str">
        <x:v>Celta de Vigo</x:v>
      </x:c>
      <x:c r="F8" s="17" t="str">
        <x:v>Opportunity</x:v>
      </x:c>
      <x:c r="G8" s="19" t="str">
        <x:v>share_0_to_1</x:v>
      </x:c>
      <x:c r="H8" s="19" t="str">
        <x:v>full_explicit_fit</x:v>
      </x:c>
      <x:c r="I8" s="19" t="str">
        <x:v>elastic_net</x:v>
      </x:c>
      <x:c r="J8" s="35" t="n">
        <x:v>0.3956510793527452</x:v>
      </x:c>
      <x:c r="K8" s="35" t="n">
        <x:v>0.4118187172455929</x:v>
      </x:c>
      <x:c r="L8" s="35" t="n">
        <x:f>K8-J8</x:f>
        <x:v>0.016167637892847697</x:v>
      </x:c>
      <x:c r="M8" s="35" t="n">
        <x:v>0.5330330330330331</x:v>
      </x:c>
      <x:c r="N8" s="35" t="n">
        <x:f>M8-J8</x:f>
        <x:v>0.13738195368028788</x:v>
      </x:c>
      <x:c r="O8" s="35" t="n">
        <x:f>ABS(M8-J8)</x:f>
        <x:v>0.13738195368028788</x:v>
      </x:c>
      <x:c r="P8" s="35" t="n">
        <x:f>ABS(M8-K8)</x:f>
        <x:v>0.12121431578744019</x:v>
      </x:c>
      <x:c r="Q8" s="35" t="n">
        <x:f>O8-P8</x:f>
        <x:v>0.016167637892847697</x:v>
      </x:c>
      <x:c r="R8" s="17" t="b">
        <x:f>Q8&gt;0</x:f>
        <x:v>1</x:v>
      </x:c>
      <x:c r="S8" s="17" t="b">
        <x:f>SIGN(L8)=SIGN(N8)</x:f>
        <x:v>1</x:v>
      </x:c>
      <x:c r="T8" s="19" t="str">
        <x:v>Rotation Usage</x:v>
      </x:c>
    </x:row>
    <x:row r="9" ht="23" customHeight="1">
      <x:c r="A9" s="20" t="str">
        <x:v>case_02|performance</x:v>
      </x:c>
      <x:c r="B9" s="15" t="str">
        <x:v>case_02</x:v>
      </x:c>
      <x:c r="C9" s="20" t="str">
        <x:v>Confirmed Positive</x:v>
      </x:c>
      <x:c r="D9" s="15" t="str">
        <x:v>Óscar Rodríguez Arnaiz</x:v>
      </x:c>
      <x:c r="E9" s="15" t="str">
        <x:v>Celta de Vigo</x:v>
      </x:c>
      <x:c r="F9" s="15" t="str">
        <x:v>Performance</x:v>
      </x:c>
      <x:c r="G9" s="20" t="str">
        <x:v>role_season_standardized_index</x:v>
      </x:c>
      <x:c r="H9" s="20" t="str">
        <x:v>full_explicit_fit</x:v>
      </x:c>
      <x:c r="I9" s="20" t="str">
        <x:v>gradient_boosted_trees</x:v>
      </x:c>
      <x:c r="J9" s="36" t="n">
        <x:v>-0.0179389067982076</x:v>
      </x:c>
      <x:c r="K9" s="36" t="n">
        <x:v>0.0491439213824718</x:v>
      </x:c>
      <x:c r="L9" s="36" t="n">
        <x:f>K9-J9</x:f>
        <x:v>0.0670828281806794</x:v>
      </x:c>
      <x:c r="M9" s="36" t="n">
        <x:v>0.0663230384924339</x:v>
      </x:c>
      <x:c r="N9" s="36" t="n">
        <x:f>M9-J9</x:f>
        <x:v>0.0842619452906415</x:v>
      </x:c>
      <x:c r="O9" s="36" t="n">
        <x:f>ABS(M9-J9)</x:f>
        <x:v>0.0842619452906415</x:v>
      </x:c>
      <x:c r="P9" s="36" t="n">
        <x:f>ABS(M9-K9)</x:f>
        <x:v>0.017179117109962103</x:v>
      </x:c>
      <x:c r="Q9" s="36" t="n">
        <x:f>O9-P9</x:f>
        <x:v>0.0670828281806794</x:v>
      </x:c>
      <x:c r="R9" s="15" t="b">
        <x:f>Q9&gt;0</x:f>
        <x:v>1</x:v>
      </x:c>
      <x:c r="S9" s="15" t="b">
        <x:f>SIGN(L9)=SIGN(N9)</x:f>
        <x:v>1</x:v>
      </x:c>
      <x:c r="T9" s="20" t="str">
        <x:v>Near Role Average</x:v>
      </x:c>
    </x:row>
    <x:row r="10" ht="23" customHeight="1">
      <x:c r="A10" s="19" t="str">
        <x:v>case_03|opportunity</x:v>
      </x:c>
      <x:c r="B10" s="17" t="str">
        <x:v>case_03</x:v>
      </x:c>
      <x:c r="C10" s="19" t="str">
        <x:v>Confirmed Warning</x:v>
      </x:c>
      <x:c r="D10" s="17" t="str">
        <x:v>Jorge Meré</x:v>
      </x:c>
      <x:c r="E10" s="17" t="str">
        <x:v>Cádiz CF</x:v>
      </x:c>
      <x:c r="F10" s="17" t="str">
        <x:v>Opportunity</x:v>
      </x:c>
      <x:c r="G10" s="19" t="str">
        <x:v>share_0_to_1</x:v>
      </x:c>
      <x:c r="H10" s="19" t="str">
        <x:v>full_explicit_fit</x:v>
      </x:c>
      <x:c r="I10" s="19" t="str">
        <x:v>elastic_net</x:v>
      </x:c>
      <x:c r="J10" s="35" t="n">
        <x:v>0.3657203398254235</x:v>
      </x:c>
      <x:c r="K10" s="35" t="n">
        <x:v>0.3265281593642774</x:v>
      </x:c>
      <x:c r="L10" s="35" t="n">
        <x:f>K10-J10</x:f>
        <x:v>-0.03919218046114609</x:v>
      </x:c>
      <x:c r="M10" s="35" t="n">
        <x:v>0.2021021021021021</x:v>
      </x:c>
      <x:c r="N10" s="35" t="n">
        <x:f>M10-J10</x:f>
        <x:v>-0.1636182377233214</x:v>
      </x:c>
      <x:c r="O10" s="35" t="n">
        <x:f>ABS(M10-J10)</x:f>
        <x:v>0.1636182377233214</x:v>
      </x:c>
      <x:c r="P10" s="35" t="n">
        <x:f>ABS(M10-K10)</x:f>
        <x:v>0.12442605726217532</x:v>
      </x:c>
      <x:c r="Q10" s="35" t="n">
        <x:f>O10-P10</x:f>
        <x:v>0.03919218046114609</x:v>
      </x:c>
      <x:c r="R10" s="17" t="b">
        <x:f>Q10&gt;0</x:f>
        <x:v>1</x:v>
      </x:c>
      <x:c r="S10" s="17" t="b">
        <x:f>SIGN(L10)=SIGN(N10)</x:f>
        <x:v>1</x:v>
      </x:c>
      <x:c r="T10" s="19" t="str">
        <x:v>Limited Usage</x:v>
      </x:c>
    </x:row>
    <x:row r="11" ht="23" customHeight="1">
      <x:c r="A11" s="20" t="str">
        <x:v>case_03|performance</x:v>
      </x:c>
      <x:c r="B11" s="15" t="str">
        <x:v>case_03</x:v>
      </x:c>
      <x:c r="C11" s="20" t="str">
        <x:v>Confirmed Warning</x:v>
      </x:c>
      <x:c r="D11" s="15" t="str">
        <x:v>Jorge Meré</x:v>
      </x:c>
      <x:c r="E11" s="15" t="str">
        <x:v>Cádiz CF</x:v>
      </x:c>
      <x:c r="F11" s="15" t="str">
        <x:v>Performance</x:v>
      </x:c>
      <x:c r="G11" s="20" t="str">
        <x:v>role_season_standardized_index</x:v>
      </x:c>
      <x:c r="H11" s="20" t="str">
        <x:v>full_explicit_fit</x:v>
      </x:c>
      <x:c r="I11" s="20" t="str">
        <x:v>gradient_boosted_trees</x:v>
      </x:c>
      <x:c r="J11" s="36" t="n">
        <x:v>-0.2073976154009175</x:v>
      </x:c>
      <x:c r="K11" s="36" t="n">
        <x:v>-0.2795347147991569</x:v>
      </x:c>
      <x:c r="L11" s="36" t="n">
        <x:f>K11-J11</x:f>
        <x:v>-0.07213709939823942</x:v>
      </x:c>
      <x:c r="M11" s="36" t="n">
        <x:v>-0.4762030315375522</x:v>
      </x:c>
      <x:c r="N11" s="36" t="n">
        <x:f>M11-J11</x:f>
        <x:v>-0.2688054161366347</x:v>
      </x:c>
      <x:c r="O11" s="36" t="n">
        <x:f>ABS(M11-J11)</x:f>
        <x:v>0.2688054161366347</x:v>
      </x:c>
      <x:c r="P11" s="36" t="n">
        <x:f>ABS(M11-K11)</x:f>
        <x:v>0.1966683167383953</x:v>
      </x:c>
      <x:c r="Q11" s="36" t="n">
        <x:f>O11-P11</x:f>
        <x:v>0.07213709939823942</x:v>
      </x:c>
      <x:c r="R11" s="15" t="b">
        <x:f>Q11&gt;0</x:f>
        <x:v>1</x:v>
      </x:c>
      <x:c r="S11" s="15" t="b">
        <x:f>SIGN(L11)=SIGN(N11)</x:f>
        <x:v>1</x:v>
      </x:c>
      <x:c r="T11" s="20" t="str">
        <x:v>Near Role Average</x:v>
      </x:c>
    </x:row>
    <x:row r="12" ht="23" customHeight="1">
      <x:c r="A12" s="19" t="str">
        <x:v>case_04|opportunity</x:v>
      </x:c>
      <x:c r="B12" s="17" t="str">
        <x:v>case_04</x:v>
      </x:c>
      <x:c r="C12" s="19" t="str">
        <x:v>Confirmed Warning</x:v>
      </x:c>
      <x:c r="D12" s="17" t="str">
        <x:v>Keita Baldé</x:v>
      </x:c>
      <x:c r="E12" s="17" t="str">
        <x:v>Cagliari Calcio</x:v>
      </x:c>
      <x:c r="F12" s="17" t="str">
        <x:v>Opportunity</x:v>
      </x:c>
      <x:c r="G12" s="19" t="str">
        <x:v>share_0_to_1</x:v>
      </x:c>
      <x:c r="H12" s="19" t="str">
        <x:v>full_explicit_fit</x:v>
      </x:c>
      <x:c r="I12" s="19" t="str">
        <x:v>elastic_net</x:v>
      </x:c>
      <x:c r="J12" s="35" t="n">
        <x:v>0.4952299999145742</x:v>
      </x:c>
      <x:c r="K12" s="35" t="n">
        <x:v>0.4405052442588317</x:v>
      </x:c>
      <x:c r="L12" s="35" t="n">
        <x:f>K12-J12</x:f>
        <x:v>-0.05472475565574253</x:v>
      </x:c>
      <x:c r="M12" s="35" t="n">
        <x:v>0.369069069069069</x:v>
      </x:c>
      <x:c r="N12" s="35" t="n">
        <x:f>M12-J12</x:f>
        <x:v>-0.12616093084550523</x:v>
      </x:c>
      <x:c r="O12" s="35" t="n">
        <x:f>ABS(M12-J12)</x:f>
        <x:v>0.12616093084550523</x:v>
      </x:c>
      <x:c r="P12" s="35" t="n">
        <x:f>ABS(M12-K12)</x:f>
        <x:v>0.0714361751897627</x:v>
      </x:c>
      <x:c r="Q12" s="35" t="n">
        <x:f>O12-P12</x:f>
        <x:v>0.05472475565574253</x:v>
      </x:c>
      <x:c r="R12" s="17" t="b">
        <x:f>Q12&gt;0</x:f>
        <x:v>1</x:v>
      </x:c>
      <x:c r="S12" s="17" t="b">
        <x:f>SIGN(L12)=SIGN(N12)</x:f>
        <x:v>1</x:v>
      </x:c>
      <x:c r="T12" s="19" t="str">
        <x:v>Rotation Usage</x:v>
      </x:c>
    </x:row>
    <x:row r="13" ht="23" customHeight="1">
      <x:c r="A13" s="20" t="str">
        <x:v>case_04|performance</x:v>
      </x:c>
      <x:c r="B13" s="15" t="str">
        <x:v>case_04</x:v>
      </x:c>
      <x:c r="C13" s="20" t="str">
        <x:v>Confirmed Warning</x:v>
      </x:c>
      <x:c r="D13" s="15" t="str">
        <x:v>Keita Baldé</x:v>
      </x:c>
      <x:c r="E13" s="15" t="str">
        <x:v>Cagliari Calcio</x:v>
      </x:c>
      <x:c r="F13" s="15" t="str">
        <x:v>Performance</x:v>
      </x:c>
      <x:c r="G13" s="20" t="str">
        <x:v>role_season_standardized_index</x:v>
      </x:c>
      <x:c r="H13" s="20" t="str">
        <x:v>full_explicit_fit</x:v>
      </x:c>
      <x:c r="I13" s="20" t="str">
        <x:v>gradient_boosted_trees</x:v>
      </x:c>
      <x:c r="J13" s="36" t="n">
        <x:v>0.4359132257871667</x:v>
      </x:c>
      <x:c r="K13" s="36" t="n">
        <x:v>0.2186267884684521</x:v>
      </x:c>
      <x:c r="L13" s="36" t="n">
        <x:f>K13-J13</x:f>
        <x:v>-0.21728643731871458</x:v>
      </x:c>
      <x:c r="M13" s="36" t="n">
        <x:v>-0.2689925277828365</x:v>
      </x:c>
      <x:c r="N13" s="36" t="n">
        <x:f>M13-J13</x:f>
        <x:v>-0.7049057535700032</x:v>
      </x:c>
      <x:c r="O13" s="36" t="n">
        <x:f>ABS(M13-J13)</x:f>
        <x:v>0.7049057535700032</x:v>
      </x:c>
      <x:c r="P13" s="36" t="n">
        <x:f>ABS(M13-K13)</x:f>
        <x:v>0.4876193162512886</x:v>
      </x:c>
      <x:c r="Q13" s="36" t="n">
        <x:f>O13-P13</x:f>
        <x:v>0.21728643731871455</x:v>
      </x:c>
      <x:c r="R13" s="15" t="b">
        <x:f>Q13&gt;0</x:f>
        <x:v>1</x:v>
      </x:c>
      <x:c r="S13" s="15" t="b">
        <x:f>SIGN(L13)=SIGN(N13)</x:f>
        <x:v>1</x:v>
      </x:c>
      <x:c r="T13" s="20" t="str">
        <x:v>Near Role Average</x:v>
      </x:c>
    </x:row>
    <x:row r="14" ht="23" customHeight="1">
      <x:c r="A14" s="19" t="str">
        <x:v>case_05|opportunity</x:v>
      </x:c>
      <x:c r="B14" s="17" t="str">
        <x:v>case_05</x:v>
      </x:c>
      <x:c r="C14" s="19" t="str">
        <x:v>Confirmed Warning</x:v>
      </x:c>
      <x:c r="D14" s="17" t="str">
        <x:v>Philippe Coutinho</x:v>
      </x:c>
      <x:c r="E14" s="17" t="str">
        <x:v>Aston Villa</x:v>
      </x:c>
      <x:c r="F14" s="17" t="str">
        <x:v>Opportunity</x:v>
      </x:c>
      <x:c r="G14" s="19" t="str">
        <x:v>share_0_to_1</x:v>
      </x:c>
      <x:c r="H14" s="19" t="str">
        <x:v>full_explicit_fit</x:v>
      </x:c>
      <x:c r="I14" s="19" t="str">
        <x:v>elastic_net</x:v>
      </x:c>
      <x:c r="J14" s="35" t="n">
        <x:v>0.6227747464632976</x:v>
      </x:c>
      <x:c r="K14" s="35" t="n">
        <x:v>0.4745050725845902</x:v>
      </x:c>
      <x:c r="L14" s="35" t="n">
        <x:f>K14-J14</x:f>
        <x:v>-0.14826967387870738</x:v>
      </x:c>
      <x:c r="M14" s="35" t="n">
        <x:v>0.2304093567251462</x:v>
      </x:c>
      <x:c r="N14" s="35" t="n">
        <x:f>M14-J14</x:f>
        <x:v>-0.3923653897381514</x:v>
      </x:c>
      <x:c r="O14" s="35" t="n">
        <x:f>ABS(M14-J14)</x:f>
        <x:v>0.3923653897381514</x:v>
      </x:c>
      <x:c r="P14" s="35" t="n">
        <x:f>ABS(M14-K14)</x:f>
        <x:v>0.24409571585944398</x:v>
      </x:c>
      <x:c r="Q14" s="35" t="n">
        <x:f>O14-P14</x:f>
        <x:v>0.1482696738787074</x:v>
      </x:c>
      <x:c r="R14" s="17" t="b">
        <x:f>Q14&gt;0</x:f>
        <x:v>1</x:v>
      </x:c>
      <x:c r="S14" s="17" t="b">
        <x:f>SIGN(L14)=SIGN(N14)</x:f>
        <x:v>1</x:v>
      </x:c>
      <x:c r="T14" s="19" t="str">
        <x:v>Limited Usage</x:v>
      </x:c>
    </x:row>
    <x:row r="15" ht="23" customHeight="1">
      <x:c r="A15" s="20" t="str">
        <x:v>case_05|performance</x:v>
      </x:c>
      <x:c r="B15" s="15" t="str">
        <x:v>case_05</x:v>
      </x:c>
      <x:c r="C15" s="20" t="str">
        <x:v>Confirmed Warning</x:v>
      </x:c>
      <x:c r="D15" s="15" t="str">
        <x:v>Philippe Coutinho</x:v>
      </x:c>
      <x:c r="E15" s="15" t="str">
        <x:v>Aston Villa</x:v>
      </x:c>
      <x:c r="F15" s="15" t="str">
        <x:v>Performance</x:v>
      </x:c>
      <x:c r="G15" s="20" t="str">
        <x:v>role_season_standardized_index</x:v>
      </x:c>
      <x:c r="H15" s="20" t="str">
        <x:v>full_explicit_fit</x:v>
      </x:c>
      <x:c r="I15" s="20" t="str">
        <x:v>gradient_boosted_trees</x:v>
      </x:c>
      <x:c r="J15" s="36" t="n">
        <x:v>0.2837276327541032</x:v>
      </x:c>
      <x:c r="K15" s="36" t="n">
        <x:v>0.2215318953297137</x:v>
      </x:c>
      <x:c r="L15" s="36" t="n">
        <x:f>K15-J15</x:f>
        <x:v>-0.06219573742438947</x:v>
      </x:c>
      <x:c r="M15" s="36" t="n">
        <x:v>0.0189460447791729</x:v>
      </x:c>
      <x:c r="N15" s="36" t="n">
        <x:f>M15-J15</x:f>
        <x:v>-0.2647815879749303</x:v>
      </x:c>
      <x:c r="O15" s="36" t="n">
        <x:f>ABS(M15-J15)</x:f>
        <x:v>0.2647815879749303</x:v>
      </x:c>
      <x:c r="P15" s="36" t="n">
        <x:f>ABS(M15-K15)</x:f>
        <x:v>0.20258585055054082</x:v>
      </x:c>
      <x:c r="Q15" s="36" t="n">
        <x:f>O15-P15</x:f>
        <x:v>0.06219573742438947</x:v>
      </x:c>
      <x:c r="R15" s="15" t="b">
        <x:f>Q15&gt;0</x:f>
        <x:v>1</x:v>
      </x:c>
      <x:c r="S15" s="15" t="b">
        <x:f>SIGN(L15)=SIGN(N15)</x:f>
        <x:v>1</x:v>
      </x:c>
      <x:c r="T15" s="20" t="str">
        <x:v>Near Role Average</x:v>
      </x:c>
    </x:row>
    <x:row r="16" ht="23" customHeight="1">
      <x:c r="A16" s="19" t="str">
        <x:v>case_06|opportunity</x:v>
      </x:c>
      <x:c r="B16" s="17" t="str">
        <x:v>case_06</x:v>
      </x:c>
      <x:c r="C16" s="19" t="str">
        <x:v>Validated Tradeoff</x:v>
      </x:c>
      <x:c r="D16" s="17" t="str">
        <x:v>Faride Alidou</x:v>
      </x:c>
      <x:c r="E16" s="17" t="str">
        <x:v>1.FC Köln</x:v>
      </x:c>
      <x:c r="F16" s="17" t="str">
        <x:v>Opportunity</x:v>
      </x:c>
      <x:c r="G16" s="19" t="str">
        <x:v>share_0_to_1</x:v>
      </x:c>
      <x:c r="H16" s="19" t="str">
        <x:v>full_explicit_fit</x:v>
      </x:c>
      <x:c r="I16" s="19" t="str">
        <x:v>elastic_net</x:v>
      </x:c>
      <x:c r="J16" s="35" t="n">
        <x:v>0.3422189186180057</x:v>
      </x:c>
      <x:c r="K16" s="35" t="n">
        <x:v>0.3791800431329217</x:v>
      </x:c>
      <x:c r="L16" s="35" t="n">
        <x:f>K16-J16</x:f>
        <x:v>0.03696112451491601</x:v>
      </x:c>
      <x:c r="M16" s="35" t="n">
        <x:v>0.4189542483660131</x:v>
      </x:c>
      <x:c r="N16" s="35" t="n">
        <x:f>M16-J16</x:f>
        <x:v>0.0767353297480074</x:v>
      </x:c>
      <x:c r="O16" s="35" t="n">
        <x:f>ABS(M16-J16)</x:f>
        <x:v>0.0767353297480074</x:v>
      </x:c>
      <x:c r="P16" s="35" t="n">
        <x:f>ABS(M16-K16)</x:f>
        <x:v>0.039774205233091386</x:v>
      </x:c>
      <x:c r="Q16" s="35" t="n">
        <x:f>O16-P16</x:f>
        <x:v>0.03696112451491601</x:v>
      </x:c>
      <x:c r="R16" s="17" t="b">
        <x:f>Q16&gt;0</x:f>
        <x:v>1</x:v>
      </x:c>
      <x:c r="S16" s="17" t="b">
        <x:f>SIGN(L16)=SIGN(N16)</x:f>
        <x:v>1</x:v>
      </x:c>
      <x:c r="T16" s="19" t="str">
        <x:v>Rotation Usage</x:v>
      </x:c>
    </x:row>
    <x:row r="17" ht="23" customHeight="1">
      <x:c r="A17" s="20" t="str">
        <x:v>case_06|performance</x:v>
      </x:c>
      <x:c r="B17" s="15" t="str">
        <x:v>case_06</x:v>
      </x:c>
      <x:c r="C17" s="20" t="str">
        <x:v>Validated Tradeoff</x:v>
      </x:c>
      <x:c r="D17" s="15" t="str">
        <x:v>Faride Alidou</x:v>
      </x:c>
      <x:c r="E17" s="15" t="str">
        <x:v>1.FC Köln</x:v>
      </x:c>
      <x:c r="F17" s="15" t="str">
        <x:v>Performance</x:v>
      </x:c>
      <x:c r="G17" s="20" t="str">
        <x:v>role_season_standardized_index</x:v>
      </x:c>
      <x:c r="H17" s="20" t="str">
        <x:v>full_explicit_fit</x:v>
      </x:c>
      <x:c r="I17" s="20" t="str">
        <x:v>gradient_boosted_trees</x:v>
      </x:c>
      <x:c r="J17" s="36" t="n">
        <x:v>0.1780432839640348</x:v>
      </x:c>
      <x:c r="K17" s="36" t="n">
        <x:v>0.0962885029782607</x:v>
      </x:c>
      <x:c r="L17" s="36" t="n">
        <x:f>K17-J17</x:f>
        <x:v>-0.08175478098577409</x:v>
      </x:c>
      <x:c r="M17" s="36" t="n">
        <x:v>-0.2906456254362946</x:v>
      </x:c>
      <x:c r="N17" s="36" t="n">
        <x:f>M17-J17</x:f>
        <x:v>-0.46868890940032937</x:v>
      </x:c>
      <x:c r="O17" s="36" t="n">
        <x:f>ABS(M17-J17)</x:f>
        <x:v>0.46868890940032937</x:v>
      </x:c>
      <x:c r="P17" s="36" t="n">
        <x:f>ABS(M17-K17)</x:f>
        <x:v>0.38693412841455527</x:v>
      </x:c>
      <x:c r="Q17" s="36" t="n">
        <x:f>O17-P17</x:f>
        <x:v>0.0817547809857741</x:v>
      </x:c>
      <x:c r="R17" s="15" t="b">
        <x:f>Q17&gt;0</x:f>
        <x:v>1</x:v>
      </x:c>
      <x:c r="S17" s="15" t="b">
        <x:f>SIGN(L17)=SIGN(N17)</x:f>
        <x:v>1</x:v>
      </x:c>
      <x:c r="T17" s="20" t="str">
        <x:v>Near Role Average</x:v>
      </x:c>
    </x:row>
    <x:row r="18" ht="23" customHeight="1">
      <x:c r="A18" s="19" t="str">
        <x:v>case_07|opportunity</x:v>
      </x:c>
      <x:c r="B18" s="17" t="str">
        <x:v>case_07</x:v>
      </x:c>
      <x:c r="C18" s="19" t="str">
        <x:v>Validated Tradeoff</x:v>
      </x:c>
      <x:c r="D18" s="17" t="str">
        <x:v>Oriol Romeu</x:v>
      </x:c>
      <x:c r="E18" s="17" t="str">
        <x:v>FC Barcelona</x:v>
      </x:c>
      <x:c r="F18" s="17" t="str">
        <x:v>Opportunity</x:v>
      </x:c>
      <x:c r="G18" s="19" t="str">
        <x:v>share_0_to_1</x:v>
      </x:c>
      <x:c r="H18" s="19" t="str">
        <x:v>full_explicit_fit</x:v>
      </x:c>
      <x:c r="I18" s="19" t="str">
        <x:v>elastic_net</x:v>
      </x:c>
      <x:c r="J18" s="35" t="n">
        <x:v>0.5768572170560072</x:v>
      </x:c>
      <x:c r="K18" s="35" t="n">
        <x:v>0.5236354469586783</x:v>
      </x:c>
      <x:c r="L18" s="35" t="n">
        <x:f>K18-J18</x:f>
        <x:v>-0.05322177009732898</x:v>
      </x:c>
      <x:c r="M18" s="35" t="n">
        <x:v>0.2810810810810811</x:v>
      </x:c>
      <x:c r="N18" s="35" t="n">
        <x:f>M18-J18</x:f>
        <x:v>-0.29577613597492614</x:v>
      </x:c>
      <x:c r="O18" s="35" t="n">
        <x:f>ABS(M18-J18)</x:f>
        <x:v>0.29577613597492614</x:v>
      </x:c>
      <x:c r="P18" s="35" t="n">
        <x:f>ABS(M18-K18)</x:f>
        <x:v>0.24255436587759716</x:v>
      </x:c>
      <x:c r="Q18" s="35" t="n">
        <x:f>O18-P18</x:f>
        <x:v>0.05322177009732898</x:v>
      </x:c>
      <x:c r="R18" s="17" t="b">
        <x:f>Q18&gt;0</x:f>
        <x:v>1</x:v>
      </x:c>
      <x:c r="S18" s="17" t="b">
        <x:f>SIGN(L18)=SIGN(N18)</x:f>
        <x:v>1</x:v>
      </x:c>
      <x:c r="T18" s="19" t="str">
        <x:v>Limited Usage</x:v>
      </x:c>
    </x:row>
    <x:row r="19" ht="23" customHeight="1">
      <x:c r="A19" s="20" t="str">
        <x:v>case_07|performance</x:v>
      </x:c>
      <x:c r="B19" s="15" t="str">
        <x:v>case_07</x:v>
      </x:c>
      <x:c r="C19" s="20" t="str">
        <x:v>Validated Tradeoff</x:v>
      </x:c>
      <x:c r="D19" s="15" t="str">
        <x:v>Oriol Romeu</x:v>
      </x:c>
      <x:c r="E19" s="15" t="str">
        <x:v>FC Barcelona</x:v>
      </x:c>
      <x:c r="F19" s="15" t="str">
        <x:v>Performance</x:v>
      </x:c>
      <x:c r="G19" s="20" t="str">
        <x:v>role_season_standardized_index</x:v>
      </x:c>
      <x:c r="H19" s="20" t="str">
        <x:v>full_explicit_fit</x:v>
      </x:c>
      <x:c r="I19" s="20" t="str">
        <x:v>gradient_boosted_trees</x:v>
      </x:c>
      <x:c r="J19" s="36" t="n">
        <x:v>-0.2016512641104181</x:v>
      </x:c>
      <x:c r="K19" s="36" t="n">
        <x:v>-0.0531345165922204</x:v>
      </x:c>
      <x:c r="L19" s="36" t="n">
        <x:f>K19-J19</x:f>
        <x:v>0.14851674751819768</x:v>
      </x:c>
      <x:c r="M19" s="36" t="n">
        <x:v>0.0424009057521834</x:v>
      </x:c>
      <x:c r="N19" s="36" t="n">
        <x:f>M19-J19</x:f>
        <x:v>0.24405216986260148</x:v>
      </x:c>
      <x:c r="O19" s="36" t="n">
        <x:f>ABS(M19-J19)</x:f>
        <x:v>0.24405216986260148</x:v>
      </x:c>
      <x:c r="P19" s="36" t="n">
        <x:f>ABS(M19-K19)</x:f>
        <x:v>0.09553542234440379</x:v>
      </x:c>
      <x:c r="Q19" s="36" t="n">
        <x:f>O19-P19</x:f>
        <x:v>0.14851674751819768</x:v>
      </x:c>
      <x:c r="R19" s="15" t="b">
        <x:f>Q19&gt;0</x:f>
        <x:v>1</x:v>
      </x:c>
      <x:c r="S19" s="15" t="b">
        <x:f>SIGN(L19)=SIGN(N19)</x:f>
        <x:v>1</x:v>
      </x:c>
      <x:c r="T19" s="20" t="str">
        <x:v>Near Role Average</x:v>
      </x:c>
    </x:row>
    <x:row r="20" ht="23" customHeight="1">
      <x:c r="A20" s="19" t="str">
        <x:v>case_08|opportunity</x:v>
      </x:c>
      <x:c r="B20" s="17" t="str">
        <x:v>case_08</x:v>
      </x:c>
      <x:c r="C20" s="19" t="str">
        <x:v>False Positive</x:v>
      </x:c>
      <x:c r="D20" s="17" t="str">
        <x:v>Aridane Hernández</x:v>
      </x:c>
      <x:c r="E20" s="17" t="str">
        <x:v>Rayo Vallecano</x:v>
      </x:c>
      <x:c r="F20" s="17" t="str">
        <x:v>Opportunity</x:v>
      </x:c>
      <x:c r="G20" s="19" t="str">
        <x:v>share_0_to_1</x:v>
      </x:c>
      <x:c r="H20" s="19" t="str">
        <x:v>full_explicit_fit</x:v>
      </x:c>
      <x:c r="I20" s="19" t="str">
        <x:v>elastic_net</x:v>
      </x:c>
      <x:c r="J20" s="35" t="n">
        <x:v>0.4966384655649855</x:v>
      </x:c>
      <x:c r="K20" s="35" t="n">
        <x:v>0.5518897268102109</x:v>
      </x:c>
      <x:c r="L20" s="35" t="n">
        <x:f>K20-J20</x:f>
        <x:v>0.05525126124522539</x:v>
      </x:c>
      <x:c r="M20" s="35" t="n">
        <x:v>0.5075075075075075</x:v>
      </x:c>
      <x:c r="N20" s="35" t="n">
        <x:f>M20-J20</x:f>
        <x:v>0.010869041942522029</x:v>
      </x:c>
      <x:c r="O20" s="35" t="n">
        <x:f>ABS(M20-J20)</x:f>
        <x:v>0.010869041942522029</x:v>
      </x:c>
      <x:c r="P20" s="35" t="n">
        <x:f>ABS(M20-K20)</x:f>
        <x:v>0.04438221930270336</x:v>
      </x:c>
      <x:c r="Q20" s="35" t="n">
        <x:f>O20-P20</x:f>
        <x:v>-0.033513177360181334</x:v>
      </x:c>
      <x:c r="R20" s="17" t="b">
        <x:f>Q20&gt;0</x:f>
        <x:v>0</x:v>
      </x:c>
      <x:c r="S20" s="17" t="b">
        <x:f>SIGN(L20)=SIGN(N20)</x:f>
        <x:v>1</x:v>
      </x:c>
      <x:c r="T20" s="19" t="str">
        <x:v>Rotation Usage</x:v>
      </x:c>
    </x:row>
    <x:row r="21" ht="23" customHeight="1">
      <x:c r="A21" s="20" t="str">
        <x:v>case_08|performance</x:v>
      </x:c>
      <x:c r="B21" s="15" t="str">
        <x:v>case_08</x:v>
      </x:c>
      <x:c r="C21" s="20" t="str">
        <x:v>False Positive</x:v>
      </x:c>
      <x:c r="D21" s="15" t="str">
        <x:v>Aridane Hernández</x:v>
      </x:c>
      <x:c r="E21" s="15" t="str">
        <x:v>Rayo Vallecano</x:v>
      </x:c>
      <x:c r="F21" s="15" t="str">
        <x:v>Performance</x:v>
      </x:c>
      <x:c r="G21" s="20" t="str">
        <x:v>role_season_standardized_index</x:v>
      </x:c>
      <x:c r="H21" s="20" t="str">
        <x:v>full_explicit_fit</x:v>
      </x:c>
      <x:c r="I21" s="20" t="str">
        <x:v>gradient_boosted_trees</x:v>
      </x:c>
      <x:c r="J21" s="36" t="n">
        <x:v>-0.2557504205965145</x:v>
      </x:c>
      <x:c r="K21" s="36" t="n">
        <x:v>-0.1199907429962179</x:v>
      </x:c>
      <x:c r="L21" s="36" t="n">
        <x:f>K21-J21</x:f>
        <x:v>0.13575967760029659</x:v>
      </x:c>
      <x:c r="M21" s="36" t="n">
        <x:v>-0.4059393287007372</x:v>
      </x:c>
      <x:c r="N21" s="36" t="n">
        <x:f>M21-J21</x:f>
        <x:v>-0.1501889081042227</x:v>
      </x:c>
      <x:c r="O21" s="36" t="n">
        <x:f>ABS(M21-J21)</x:f>
        <x:v>0.1501889081042227</x:v>
      </x:c>
      <x:c r="P21" s="36" t="n">
        <x:f>ABS(M21-K21)</x:f>
        <x:v>0.2859485857045193</x:v>
      </x:c>
      <x:c r="Q21" s="36" t="n">
        <x:f>O21-P21</x:f>
        <x:v>-0.1357596776002966</x:v>
      </x:c>
      <x:c r="R21" s="15" t="b">
        <x:f>Q21&gt;0</x:f>
        <x:v>0</x:v>
      </x:c>
      <x:c r="S21" s="15" t="b">
        <x:f>SIGN(L21)=SIGN(N21)</x:f>
        <x:v>0</x:v>
      </x:c>
      <x:c r="T21" s="20" t="str">
        <x:v>Near Role Average</x:v>
      </x:c>
    </x:row>
    <x:row r="22" ht="23" customHeight="1">
      <x:c r="A22" s="19" t="str">
        <x:v>case_09|opportunity</x:v>
      </x:c>
      <x:c r="B22" s="17" t="str">
        <x:v>case_09</x:v>
      </x:c>
      <x:c r="C22" s="19" t="str">
        <x:v>False Positive</x:v>
      </x:c>
      <x:c r="D22" s="17" t="str">
        <x:v>Yayah Kallon</x:v>
      </x:c>
      <x:c r="E22" s="17" t="str">
        <x:v>Hellas Verona</x:v>
      </x:c>
      <x:c r="F22" s="17" t="str">
        <x:v>Opportunity</x:v>
      </x:c>
      <x:c r="G22" s="19" t="str">
        <x:v>share_0_to_1</x:v>
      </x:c>
      <x:c r="H22" s="19" t="str">
        <x:v>full_explicit_fit</x:v>
      </x:c>
      <x:c r="I22" s="19" t="str">
        <x:v>elastic_net</x:v>
      </x:c>
      <x:c r="J22" s="35" t="n">
        <x:v>0.2301612517308314</x:v>
      </x:c>
      <x:c r="K22" s="35" t="n">
        <x:v>0.3327693146992425</x:v>
      </x:c>
      <x:c r="L22" s="35" t="n">
        <x:f>K22-J22</x:f>
        <x:v>0.10260806296841107</x:v>
      </x:c>
      <x:c r="M22" s="35" t="n">
        <x:v>0.2582582582582582</x:v>
      </x:c>
      <x:c r="N22" s="35" t="n">
        <x:f>M22-J22</x:f>
        <x:v>0.028097006527426804</x:v>
      </x:c>
      <x:c r="O22" s="35" t="n">
        <x:f>ABS(M22-J22)</x:f>
        <x:v>0.028097006527426804</x:v>
      </x:c>
      <x:c r="P22" s="35" t="n">
        <x:f>ABS(M22-K22)</x:f>
        <x:v>0.07451105644098427</x:v>
      </x:c>
      <x:c r="Q22" s="35" t="n">
        <x:f>O22-P22</x:f>
        <x:v>-0.046414049913557465</x:v>
      </x:c>
      <x:c r="R22" s="17" t="b">
        <x:f>Q22&gt;0</x:f>
        <x:v>0</x:v>
      </x:c>
      <x:c r="S22" s="17" t="b">
        <x:f>SIGN(L22)=SIGN(N22)</x:f>
        <x:v>1</x:v>
      </x:c>
      <x:c r="T22" s="19" t="str">
        <x:v>Limited Usage</x:v>
      </x:c>
    </x:row>
    <x:row r="23" ht="23" customHeight="1">
      <x:c r="A23" s="20" t="str">
        <x:v>case_09|performance</x:v>
      </x:c>
      <x:c r="B23" s="15" t="str">
        <x:v>case_09</x:v>
      </x:c>
      <x:c r="C23" s="20" t="str">
        <x:v>False Positive</x:v>
      </x:c>
      <x:c r="D23" s="15" t="str">
        <x:v>Yayah Kallon</x:v>
      </x:c>
      <x:c r="E23" s="15" t="str">
        <x:v>Hellas Verona</x:v>
      </x:c>
      <x:c r="F23" s="15" t="str">
        <x:v>Performance</x:v>
      </x:c>
      <x:c r="G23" s="20" t="str">
        <x:v>role_season_standardized_index</x:v>
      </x:c>
      <x:c r="H23" s="20" t="str">
        <x:v>full_explicit_fit</x:v>
      </x:c>
      <x:c r="I23" s="20" t="str">
        <x:v>gradient_boosted_trees</x:v>
      </x:c>
      <x:c r="J23" s="36" t="n">
        <x:v>-0.0462866282874666</x:v>
      </x:c>
      <x:c r="K23" s="36" t="n">
        <x:v>0.0250889980818659</x:v>
      </x:c>
      <x:c r="L23" s="36" t="n">
        <x:f>K23-J23</x:f>
        <x:v>0.0713756263693325</x:v>
      </x:c>
      <x:c r="M23" s="36" t="n">
        <x:v>-0.0488668645685657</x:v>
      </x:c>
      <x:c r="N23" s="36" t="n">
        <x:f>M23-J23</x:f>
        <x:v>-0.002580236281099095</x:v>
      </x:c>
      <x:c r="O23" s="36" t="n">
        <x:f>ABS(M23-J23)</x:f>
        <x:v>0.002580236281099095</x:v>
      </x:c>
      <x:c r="P23" s="36" t="n">
        <x:f>ABS(M23-K23)</x:f>
        <x:v>0.0739558626504316</x:v>
      </x:c>
      <x:c r="Q23" s="36" t="n">
        <x:f>O23-P23</x:f>
        <x:v>-0.0713756263693325</x:v>
      </x:c>
      <x:c r="R23" s="15" t="b">
        <x:f>Q23&gt;0</x:f>
        <x:v>0</x:v>
      </x:c>
      <x:c r="S23" s="15" t="b">
        <x:f>SIGN(L23)=SIGN(N23)</x:f>
        <x:v>0</x:v>
      </x:c>
      <x:c r="T23" s="20" t="str">
        <x:v>Near Role Average</x:v>
      </x:c>
    </x:row>
    <x:row r="24" ht="23" customHeight="1">
      <x:c r="A24" s="19" t="str">
        <x:v>case_10|opportunity</x:v>
      </x:c>
      <x:c r="B24" s="17" t="str">
        <x:v>case_10</x:v>
      </x:c>
      <x:c r="C24" s="19" t="str">
        <x:v>False Warning</x:v>
      </x:c>
      <x:c r="D24" s="17" t="str">
        <x:v>Lucas Perrin</x:v>
      </x:c>
      <x:c r="E24" s="17" t="str">
        <x:v>RC Strasbourg Alsace</x:v>
      </x:c>
      <x:c r="F24" s="17" t="str">
        <x:v>Opportunity</x:v>
      </x:c>
      <x:c r="G24" s="19" t="str">
        <x:v>share_0_to_1</x:v>
      </x:c>
      <x:c r="H24" s="19" t="str">
        <x:v>full_explicit_fit</x:v>
      </x:c>
      <x:c r="I24" s="19" t="str">
        <x:v>elastic_net</x:v>
      </x:c>
      <x:c r="J24" s="35" t="n">
        <x:v>0.4818343556934154</x:v>
      </x:c>
      <x:c r="K24" s="35" t="n">
        <x:v>0.41067655624305</x:v>
      </x:c>
      <x:c r="L24" s="35" t="n">
        <x:f>K24-J24</x:f>
        <x:v>-0.07115779945036538</x:v>
      </x:c>
      <x:c r="M24" s="35" t="n">
        <x:v>0.7513513513513513</x:v>
      </x:c>
      <x:c r="N24" s="35" t="n">
        <x:f>M24-J24</x:f>
        <x:v>0.26951699565793596</x:v>
      </x:c>
      <x:c r="O24" s="35" t="n">
        <x:f>ABS(M24-J24)</x:f>
        <x:v>0.26951699565793596</x:v>
      </x:c>
      <x:c r="P24" s="35" t="n">
        <x:f>ABS(M24-K24)</x:f>
        <x:v>0.34067479510830134</x:v>
      </x:c>
      <x:c r="Q24" s="35" t="n">
        <x:f>O24-P24</x:f>
        <x:v>-0.07115779945036538</x:v>
      </x:c>
      <x:c r="R24" s="17" t="b">
        <x:f>Q24&gt;0</x:f>
        <x:v>0</x:v>
      </x:c>
      <x:c r="S24" s="17" t="b">
        <x:f>SIGN(L24)=SIGN(N24)</x:f>
        <x:v>0</x:v>
      </x:c>
      <x:c r="T24" s="19" t="str">
        <x:v>High Usage</x:v>
      </x:c>
    </x:row>
    <x:row r="25" ht="23" customHeight="1">
      <x:c r="A25" s="20" t="str">
        <x:v>case_10|performance</x:v>
      </x:c>
      <x:c r="B25" s="15" t="str">
        <x:v>case_10</x:v>
      </x:c>
      <x:c r="C25" s="20" t="str">
        <x:v>False Warning</x:v>
      </x:c>
      <x:c r="D25" s="15" t="str">
        <x:v>Lucas Perrin</x:v>
      </x:c>
      <x:c r="E25" s="15" t="str">
        <x:v>RC Strasbourg Alsace</x:v>
      </x:c>
      <x:c r="F25" s="15" t="str">
        <x:v>Performance</x:v>
      </x:c>
      <x:c r="G25" s="20" t="str">
        <x:v>role_season_standardized_index</x:v>
      </x:c>
      <x:c r="H25" s="20" t="str">
        <x:v>full_explicit_fit</x:v>
      </x:c>
      <x:c r="I25" s="20" t="str">
        <x:v>gradient_boosted_trees</x:v>
      </x:c>
      <x:c r="J25" s="36" t="n">
        <x:v>0.1880523222383028</x:v>
      </x:c>
      <x:c r="K25" s="36" t="n">
        <x:v>0.0683535792056205</x:v>
      </x:c>
      <x:c r="L25" s="36" t="n">
        <x:f>K25-J25</x:f>
        <x:v>-0.11969874303268228</x:v>
      </x:c>
      <x:c r="M25" s="36" t="n">
        <x:v>0.183594828245179</x:v>
      </x:c>
      <x:c r="N25" s="36" t="n">
        <x:f>M25-J25</x:f>
        <x:v>-0.0044574939931237845</x:v>
      </x:c>
      <x:c r="O25" s="36" t="n">
        <x:f>ABS(M25-J25)</x:f>
        <x:v>0.0044574939931237845</x:v>
      </x:c>
      <x:c r="P25" s="36" t="n">
        <x:f>ABS(M25-K25)</x:f>
        <x:v>0.1152412490395585</x:v>
      </x:c>
      <x:c r="Q25" s="36" t="n">
        <x:f>O25-P25</x:f>
        <x:v>-0.11078375504643471</x:v>
      </x:c>
      <x:c r="R25" s="15" t="b">
        <x:f>Q25&gt;0</x:f>
        <x:v>0</x:v>
      </x:c>
      <x:c r="S25" s="15" t="b">
        <x:f>SIGN(L25)=SIGN(N25)</x:f>
        <x:v>1</x:v>
      </x:c>
      <x:c r="T25" s="20" t="str">
        <x:v>Near Role Average</x:v>
      </x:c>
    </x:row>
    <x:row r="26" ht="23" customHeight="1">
      <x:c r="A26" s="19" t="str">
        <x:v>case_11|opportunity</x:v>
      </x:c>
      <x:c r="B26" s="17" t="str">
        <x:v>case_11</x:v>
      </x:c>
      <x:c r="C26" s="19" t="str">
        <x:v>False Warning</x:v>
      </x:c>
      <x:c r="D26" s="17" t="str">
        <x:v>Gaëtan Laborde</x:v>
      </x:c>
      <x:c r="E26" s="17" t="str">
        <x:v>OGC Nice</x:v>
      </x:c>
      <x:c r="F26" s="17" t="str">
        <x:v>Opportunity</x:v>
      </x:c>
      <x:c r="G26" s="19" t="str">
        <x:v>share_0_to_1</x:v>
      </x:c>
      <x:c r="H26" s="19" t="str">
        <x:v>full_explicit_fit</x:v>
      </x:c>
      <x:c r="I26" s="19" t="str">
        <x:v>elastic_net</x:v>
      </x:c>
      <x:c r="J26" s="35" t="n">
        <x:v>0.633775155689442</x:v>
      </x:c>
      <x:c r="K26" s="35" t="n">
        <x:v>0.547162895339225</x:v>
      </x:c>
      <x:c r="L26" s="35" t="n">
        <x:f>K26-J26</x:f>
        <x:v>-0.08661226035021696</x:v>
      </x:c>
      <x:c r="M26" s="35" t="n">
        <x:v>0.7525525525525526</x:v>
      </x:c>
      <x:c r="N26" s="35" t="n">
        <x:f>M26-J26</x:f>
        <x:v>0.11877739686311062</x:v>
      </x:c>
      <x:c r="O26" s="35" t="n">
        <x:f>ABS(M26-J26)</x:f>
        <x:v>0.11877739686311062</x:v>
      </x:c>
      <x:c r="P26" s="35" t="n">
        <x:f>ABS(M26-K26)</x:f>
        <x:v>0.20538965721332758</x:v>
      </x:c>
      <x:c r="Q26" s="35" t="n">
        <x:f>O26-P26</x:f>
        <x:v>-0.08661226035021696</x:v>
      </x:c>
      <x:c r="R26" s="17" t="b">
        <x:f>Q26&gt;0</x:f>
        <x:v>0</x:v>
      </x:c>
      <x:c r="S26" s="17" t="b">
        <x:f>SIGN(L26)=SIGN(N26)</x:f>
        <x:v>0</x:v>
      </x:c>
      <x:c r="T26" s="19" t="str">
        <x:v>High Usage</x:v>
      </x:c>
    </x:row>
    <x:row r="27" ht="23" customHeight="1">
      <x:c r="A27" s="20" t="str">
        <x:v>case_11|performance</x:v>
      </x:c>
      <x:c r="B27" s="15" t="str">
        <x:v>case_11</x:v>
      </x:c>
      <x:c r="C27" s="20" t="str">
        <x:v>False Warning</x:v>
      </x:c>
      <x:c r="D27" s="15" t="str">
        <x:v>Gaëtan Laborde</x:v>
      </x:c>
      <x:c r="E27" s="15" t="str">
        <x:v>OGC Nice</x:v>
      </x:c>
      <x:c r="F27" s="15" t="str">
        <x:v>Performance</x:v>
      </x:c>
      <x:c r="G27" s="20" t="str">
        <x:v>role_season_standardized_index</x:v>
      </x:c>
      <x:c r="H27" s="20" t="str">
        <x:v>full_explicit_fit</x:v>
      </x:c>
      <x:c r="I27" s="20" t="str">
        <x:v>gradient_boosted_trees</x:v>
      </x:c>
      <x:c r="J27" s="36" t="n">
        <x:v>0.0714006401776116</x:v>
      </x:c>
      <x:c r="K27" s="36" t="n">
        <x:v>0.0591551498676849</x:v>
      </x:c>
      <x:c r="L27" s="36" t="n">
        <x:f>K27-J27</x:f>
        <x:v>-0.012245490309926693</x:v>
      </x:c>
      <x:c r="M27" s="36" t="n">
        <x:v>0.2475454724224724</x:v>
      </x:c>
      <x:c r="N27" s="36" t="n">
        <x:f>M27-J27</x:f>
        <x:v>0.17614483224486083</x:v>
      </x:c>
      <x:c r="O27" s="36" t="n">
        <x:f>ABS(M27-J27)</x:f>
        <x:v>0.17614483224486083</x:v>
      </x:c>
      <x:c r="P27" s="36" t="n">
        <x:f>ABS(M27-K27)</x:f>
        <x:v>0.1883903225547875</x:v>
      </x:c>
      <x:c r="Q27" s="36" t="n">
        <x:f>O27-P27</x:f>
        <x:v>-0.012245490309926665</x:v>
      </x:c>
      <x:c r="R27" s="15" t="b">
        <x:f>Q27&gt;0</x:f>
        <x:v>0</x:v>
      </x:c>
      <x:c r="S27" s="15" t="b">
        <x:f>SIGN(L27)=SIGN(N27)</x:f>
        <x:v>0</x:v>
      </x:c>
      <x:c r="T27" s="20" t="str">
        <x:v>Near Role Average</x:v>
      </x:c>
    </x:row>
    <x:row r="28" ht="23" customHeight="1">
      <x:c r="A28" s="19" t="str">
        <x:v>case_12|opportunity</x:v>
      </x:c>
      <x:c r="B28" s="17" t="str">
        <x:v>case_12</x:v>
      </x:c>
      <x:c r="C28" s="19" t="str">
        <x:v>False Warning</x:v>
      </x:c>
      <x:c r="D28" s="17" t="str">
        <x:v>Antonio Candreva</x:v>
      </x:c>
      <x:c r="E28" s="17" t="str">
        <x:v>US Salernitana 1919</x:v>
      </x:c>
      <x:c r="F28" s="17" t="str">
        <x:v>Opportunity</x:v>
      </x:c>
      <x:c r="G28" s="19" t="str">
        <x:v>share_0_to_1</x:v>
      </x:c>
      <x:c r="H28" s="19" t="str">
        <x:v>full_explicit_fit</x:v>
      </x:c>
      <x:c r="I28" s="19" t="str">
        <x:v>elastic_net</x:v>
      </x:c>
      <x:c r="J28" s="35" t="n">
        <x:v>0.616843082119746</x:v>
      </x:c>
      <x:c r="K28" s="35" t="n">
        <x:v>0.5891747155850422</x:v>
      </x:c>
      <x:c r="L28" s="35" t="n">
        <x:f>K28-J28</x:f>
        <x:v>-0.027668366534703837</x:v>
      </x:c>
      <x:c r="M28" s="35" t="n">
        <x:v>0.8986928104575164</x:v>
      </x:c>
      <x:c r="N28" s="35" t="n">
        <x:f>M28-J28</x:f>
        <x:v>0.28184972833777033</x:v>
      </x:c>
      <x:c r="O28" s="35" t="n">
        <x:f>ABS(M28-J28)</x:f>
        <x:v>0.28184972833777033</x:v>
      </x:c>
      <x:c r="P28" s="35" t="n">
        <x:f>ABS(M28-K28)</x:f>
        <x:v>0.30951809487247417</x:v>
      </x:c>
      <x:c r="Q28" s="35" t="n">
        <x:f>O28-P28</x:f>
        <x:v>-0.027668366534703837</x:v>
      </x:c>
      <x:c r="R28" s="17" t="b">
        <x:f>Q28&gt;0</x:f>
        <x:v>0</x:v>
      </x:c>
      <x:c r="S28" s="17" t="b">
        <x:f>SIGN(L28)=SIGN(N28)</x:f>
        <x:v>0</x:v>
      </x:c>
      <x:c r="T28" s="19" t="str">
        <x:v>High Usage</x:v>
      </x:c>
    </x:row>
    <x:row r="29" ht="23" customHeight="1">
      <x:c r="A29" s="20" t="str">
        <x:v>case_12|performance</x:v>
      </x:c>
      <x:c r="B29" s="15" t="str">
        <x:v>case_12</x:v>
      </x:c>
      <x:c r="C29" s="20" t="str">
        <x:v>False Warning</x:v>
      </x:c>
      <x:c r="D29" s="15" t="str">
        <x:v>Antonio Candreva</x:v>
      </x:c>
      <x:c r="E29" s="15" t="str">
        <x:v>US Salernitana 1919</x:v>
      </x:c>
      <x:c r="F29" s="15" t="str">
        <x:v>Performance</x:v>
      </x:c>
      <x:c r="G29" s="20" t="str">
        <x:v>role_season_standardized_index</x:v>
      </x:c>
      <x:c r="H29" s="20" t="str">
        <x:v>full_explicit_fit</x:v>
      </x:c>
      <x:c r="I29" s="20" t="str">
        <x:v>gradient_boosted_trees</x:v>
      </x:c>
      <x:c r="J29" s="36" t="n">
        <x:v>0.116485965333426</x:v>
      </x:c>
      <x:c r="K29" s="36" t="n">
        <x:v>0.0131188011111127</x:v>
      </x:c>
      <x:c r="L29" s="36" t="n">
        <x:f>K29-J29</x:f>
        <x:v>-0.1033671642223133</x:v>
      </x:c>
      <x:c r="M29" s="36" t="n">
        <x:v>0.1326601085789186</x:v>
      </x:c>
      <x:c r="N29" s="36" t="n">
        <x:f>M29-J29</x:f>
        <x:v>0.0161741432454926</x:v>
      </x:c>
      <x:c r="O29" s="36" t="n">
        <x:f>ABS(M29-J29)</x:f>
        <x:v>0.0161741432454926</x:v>
      </x:c>
      <x:c r="P29" s="36" t="n">
        <x:f>ABS(M29-K29)</x:f>
        <x:v>0.1195413074678059</x:v>
      </x:c>
      <x:c r="Q29" s="36" t="n">
        <x:f>O29-P29</x:f>
        <x:v>-0.1033671642223133</x:v>
      </x:c>
      <x:c r="R29" s="15" t="b">
        <x:f>Q29&gt;0</x:f>
        <x:v>0</x:v>
      </x:c>
      <x:c r="S29" s="15" t="b">
        <x:f>SIGN(L29)=SIGN(N29)</x:f>
        <x:v>0</x:v>
      </x:c>
      <x:c r="T29" s="20" t="str">
        <x:v>Near Role Average</x:v>
      </x:c>
    </x:row>
  </x:sheetData>
  <x:mergeCells>
    <x:mergeCell ref="A1:T2"/>
    <x:mergeCell ref="A3:T3"/>
  </x:mergeCells>
  <x:conditionalFormatting sqref="Q6:Q29">
    <x:cfRule type="cellIs" dxfId="8" priority="1" operator="greaterThan">
      <x:formula>0</x:formula>
    </x:cfRule>
    <x:cfRule type="cellIs" dxfId="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265887469847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18" hidden="0" customWidth="1"/>
    <x:col min="5" max="5" width="20" hidden="0" customWidth="1"/>
    <x:col min="6" max="6" width="16" hidden="0" customWidth="1"/>
    <x:col min="7" max="7" width="21" hidden="0" customWidth="1"/>
    <x:col min="8" max="8" width="16" hidden="0" customWidth="1"/>
    <x:col min="9" max="9" width="19" hidden="0" customWidth="1"/>
    <x:col min="10" max="10" width="15" hidden="0" customWidth="1"/>
    <x:col min="11" max="11" width="19" hidden="0" customWidth="1"/>
    <x:col min="12" max="12" width="19" hidden="0" customWidth="1"/>
    <x:col min="13" max="13" width="28" hidden="0" customWidth="1"/>
    <x:col min="14" max="14" width="28" hidden="0" customWidth="1"/>
    <x:col min="15" max="15" width="31" hidden="0" customWidth="1"/>
    <x:col min="16" max="16" width="30" hidden="0" customWidth="1"/>
    <x:col min="17" max="17" width="39" hidden="0" customWidth="1"/>
    <x:col min="18" max="18" width="72" hidden="0" customWidth="1"/>
  </x:cols>
  <x:sheetData>
    <x:row r="1" ht="23" customHeight="1">
      <x:c r="A1" s="3" t="str">
        <x:v>Pre-move fit diagnostics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30" customHeight="1">
      <x:c r="A3" s="7" t="str">
        <x:v>Higher score percentiles indicate stronger alignment within the same target season and player role. Diagnostics are descriptive, not causal model attributions.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5" ht="34" customHeight="1">
      <x:c r="A5" s="14" t="str">
        <x:v>Case ID</x:v>
      </x:c>
      <x:c r="B5" s="14" t="str">
        <x:v>Player</x:v>
      </x:c>
      <x:c r="C5" s="14" t="str">
        <x:v>Destination</x:v>
      </x:c>
      <x:c r="D5" s="14" t="str">
        <x:v>Context Familiarity</x:v>
      </x:c>
      <x:c r="E5" s="14" t="str">
        <x:v>Familiarity Percentile</x:v>
      </x:c>
      <x:c r="F5" s="14" t="str">
        <x:v>Preference Fit</x:v>
      </x:c>
      <x:c r="G5" s="14" t="str">
        <x:v>Preference Fit Percentile</x:v>
      </x:c>
      <x:c r="H5" s="14" t="str">
        <x:v>Style Similarity</x:v>
      </x:c>
      <x:c r="I5" s="14" t="str">
        <x:v>Similarity Percentile</x:v>
      </x:c>
      <x:c r="J5" s="14" t="str">
        <x:v>Style Distance</x:v>
      </x:c>
      <x:c r="K5" s="14" t="str">
        <x:v>Closeness Percentile</x:v>
      </x:c>
      <x:c r="L5" s="14" t="str">
        <x:v>Preference Slope Signal</x:v>
      </x:c>
      <x:c r="M5" s="14" t="str">
        <x:v>Closest Style</x:v>
      </x:c>
      <x:c r="N5" s="14" t="str">
        <x:v>Largest Style Gap</x:v>
      </x:c>
      <x:c r="O5" s="14" t="str">
        <x:v>Closest Preference Context</x:v>
      </x:c>
      <x:c r="P5" s="14" t="str">
        <x:v>Largest Preference Gap</x:v>
      </x:c>
      <x:c r="Q5" s="14" t="str">
        <x:v>Strongest Historical Axes</x:v>
      </x:c>
      <x:c r="R5" s="14" t="str">
        <x:v>Fit Note</x:v>
      </x:c>
    </x:row>
    <x:row r="6" ht="38" customHeight="1">
      <x:c r="A6" s="17" t="str">
        <x:v>case_01</x:v>
      </x:c>
      <x:c r="B6" s="17" t="str">
        <x:v>Craig Dawson</x:v>
      </x:c>
      <x:c r="C6" s="17" t="str">
        <x:v>West Ham United</x:v>
      </x:c>
      <x:c r="D6" s="37" t="n">
        <x:v>88.96538764020545</x:v>
      </x:c>
      <x:c r="E6" s="33" t="n">
        <x:v>0.8571428571428571</x:v>
      </x:c>
      <x:c r="F6" s="37" t="n">
        <x:v>88.79320312513921</x:v>
      </x:c>
      <x:c r="G6" s="33" t="n">
        <x:v>0.8571428571428571</x:v>
      </x:c>
      <x:c r="H6" s="35" t="n">
        <x:v>0.4728922736460586</x:v>
      </x:c>
      <x:c r="I6" s="33" t="n">
        <x:v>0.8571428571428571</x:v>
      </x:c>
      <x:c r="J6" s="35" t="n">
        <x:v>0.4809672529110058</x:v>
      </x:c>
      <x:c r="K6" s="33" t="n">
        <x:v>0.5</x:v>
      </x:c>
      <x:c r="L6" s="35" t="n">
        <x:v>-0.0151307153631757</x:v>
      </x:c>
      <x:c r="M6" s="19" t="str">
        <x:v>Passing control; Dribble aggression</x:v>
      </x:c>
      <x:c r="N6" s="19" t="str">
        <x:v>Creation; Aerial physicality</x:v>
      </x:c>
      <x:c r="O6" s="19" t="str">
        <x:v>Midfield creativity; Defensive intensity</x:v>
      </x:c>
      <x:c r="P6" s="19" t="str">
        <x:v>Midfield aggression; Team passing control</x:v>
      </x:c>
      <x:c r="Q6" s="19" t="str">
        <x:v>Midfield creativity (+0.648); Team passing control (-0.221)</x:v>
      </x:c>
      <x:c r="R6" s="19" t="str">
        <x:v>Closest style alignment: Passing control, Dribble aggression. Largest style gaps: Creation, Aerial physicality. Closest historical preference contexts: Midfield creativity, Defensive intensity.</x:v>
      </x:c>
    </x:row>
    <x:row r="7" ht="38" customHeight="1">
      <x:c r="A7" s="15" t="str">
        <x:v>case_04</x:v>
      </x:c>
      <x:c r="B7" s="15" t="str">
        <x:v>Keita Baldé</x:v>
      </x:c>
      <x:c r="C7" s="15" t="str">
        <x:v>Cagliari Calcio</x:v>
      </x:c>
      <x:c r="D7" s="38" t="n">
        <x:v>80.86673779920233</x:v>
      </x:c>
      <x:c r="E7" s="34" t="n">
        <x:v>0.6363636363636364</x:v>
      </x:c>
      <x:c r="F7" s="38" t="n">
        <x:v>80.91603207312936</x:v>
      </x:c>
      <x:c r="G7" s="34" t="n">
        <x:v>0.6666666666666666</x:v>
      </x:c>
      <x:c r="H7" s="36" t="n">
        <x:v>-0.644191349316878</x:v>
      </x:c>
      <x:c r="I7" s="34" t="n">
        <x:v>0.08333333333333333</x:v>
      </x:c>
      <x:c r="J7" s="36" t="n">
        <x:v>0.4104178970744478</x:v>
      </x:c>
      <x:c r="K7" s="34" t="n">
        <x:v>0.49999999999999994</x:v>
      </x:c>
      <x:c r="L7" s="36" t="n">
        <x:v>-0.0153221373491402</x:v>
      </x:c>
      <x:c r="M7" s="20" t="str">
        <x:v>Passing control; Creation</x:v>
      </x:c>
      <x:c r="N7" s="20" t="str">
        <x:v>Scoring threat; Dribble aggression</x:v>
      </x:c>
      <x:c r="O7" s="20" t="str">
        <x:v>Midfield creativity; Midfield aggression</x:v>
      </x:c>
      <x:c r="P7" s="20" t="str">
        <x:v>Forward threat; Forward mobility</x:v>
      </x:c>
      <x:c r="Q7" s="20" t="str">
        <x:v>Defensive intensity (-0.554); Forward threat (-0.261)</x:v>
      </x:c>
      <x:c r="R7" s="20" t="str">
        <x:v>Closest style alignment: Passing control, Creation. Largest style gaps: Scoring threat, Dribble aggression. Closest historical preference contexts: Midfield creativity, Midfield aggression.</x:v>
      </x:c>
    </x:row>
    <x:row r="8" ht="38" customHeight="1">
      <x:c r="A8" s="17" t="str">
        <x:v>case_10</x:v>
      </x:c>
      <x:c r="B8" s="17" t="str">
        <x:v>Lucas Perrin</x:v>
      </x:c>
      <x:c r="C8" s="17" t="str">
        <x:v>RC Strasbourg Alsace</x:v>
      </x:c>
      <x:c r="D8" s="37" t="n">
        <x:v>83.98274859995244</x:v>
      </x:c>
      <x:c r="E8" s="33" t="n">
        <x:v>0.5714285714285714</x:v>
      </x:c>
      <x:c r="F8" s="37" t="n">
        <x:v>83.72656291748439</x:v>
      </x:c>
      <x:c r="G8" s="33" t="n">
        <x:v>0.5714285714285714</x:v>
      </x:c>
      <x:c r="H8" s="35" t="n">
        <x:v>0.3231944842165064</x:v>
      </x:c>
      <x:c r="I8" s="33" t="n">
        <x:v>0.6428571428571429</x:v>
      </x:c>
      <x:c r="J8" s="35" t="n">
        <x:v>0.6111448142530302</x:v>
      </x:c>
      <x:c r="K8" s="33" t="n">
        <x:v>0.21428571428571433</x:v>
      </x:c>
      <x:c r="L8" s="35" t="n">
        <x:v>0.1820925967726614</x:v>
      </x:c>
      <x:c r="M8" s="19" t="str">
        <x:v>Dribble aggression; Defensive intensity</x:v>
      </x:c>
      <x:c r="N8" s="19" t="str">
        <x:v>Scoring threat; Passing control</x:v>
      </x:c>
      <x:c r="O8" s="19" t="str">
        <x:v>Midfield creativity; Defensive intensity</x:v>
      </x:c>
      <x:c r="P8" s="19" t="str">
        <x:v>Forward mobility; Team passing control</x:v>
      </x:c>
      <x:c r="Q8" s="19" t="str">
        <x:v>Forward mobility (-4.361); Midfield aggression (-2.287)</x:v>
      </x:c>
      <x:c r="R8" s="19" t="str">
        <x:v>Closest style alignment: Dribble aggression, Defensive intensity. Largest style gaps: Scoring threat, Passing control. Closest historical preference contexts: Midfield creativity, Defensive intensity.</x:v>
      </x:c>
    </x:row>
    <x:row r="9" ht="38" customHeight="1">
      <x:c r="A9" s="15" t="str">
        <x:v>case_11</x:v>
      </x:c>
      <x:c r="B9" s="15" t="str">
        <x:v>Gaëtan Laborde</x:v>
      </x:c>
      <x:c r="C9" s="15" t="str">
        <x:v>OGC Nice</x:v>
      </x:c>
      <x:c r="D9" s="38" t="n">
        <x:v>91.1486024907689</x:v>
      </x:c>
      <x:c r="E9" s="34" t="n">
        <x:v>1</x:v>
      </x:c>
      <x:c r="F9" s="38" t="n">
        <x:v>91.03737629197416</x:v>
      </x:c>
      <x:c r="G9" s="34" t="n">
        <x:v>1</x:v>
      </x:c>
      <x:c r="H9" s="36" t="n">
        <x:v>-0.345933699446562</x:v>
      </x:c>
      <x:c r="I9" s="34" t="n">
        <x:v>0.3333333333333333</x:v>
      </x:c>
      <x:c r="J9" s="36" t="n">
        <x:v>0.2960761214416499</x:v>
      </x:c>
      <x:c r="K9" s="34" t="n">
        <x:v>0.7500000000000001</x:v>
      </x:c>
      <x:c r="L9" s="36" t="n">
        <x:v>0.0041922120183922</x:v>
      </x:c>
      <x:c r="M9" s="20" t="str">
        <x:v>Creation; Defensive intensity</x:v>
      </x:c>
      <x:c r="N9" s="20" t="str">
        <x:v>Aerial physicality; Scoring threat</x:v>
      </x:c>
      <x:c r="O9" s="20" t="str">
        <x:v>Forward mobility; Midfield creativity</x:v>
      </x:c>
      <x:c r="P9" s="20" t="str">
        <x:v>Forward threat; Team passing control</x:v>
      </x:c>
      <x:c r="Q9" s="20" t="str">
        <x:v>Midfield creativity (+0.583); Midfield aggression (+0.433)</x:v>
      </x:c>
      <x:c r="R9" s="20" t="str">
        <x:v>Closest style alignment: Creation, Defensive intensity. Largest style gaps: Aerial physicality, Scoring threat. Closest historical preference contexts: Forward mobility, Midfield creativity.</x:v>
      </x:c>
    </x:row>
    <x:row r="10" ht="38" customHeight="1">
      <x:c r="A10" s="17" t="str">
        <x:v>case_05</x:v>
      </x:c>
      <x:c r="B10" s="17" t="str">
        <x:v>Philippe Coutinho</x:v>
      </x:c>
      <x:c r="C10" s="17" t="str">
        <x:v>Aston Villa</x:v>
      </x:c>
      <x:c r="D10" s="37" t="n">
        <x:v>58.638688572317896</x:v>
      </x:c>
      <x:c r="E10" s="33" t="n">
        <x:v>0.0625</x:v>
      </x:c>
      <x:c r="F10" s="37" t="n">
        <x:v>57.48711250011464</x:v>
      </x:c>
      <x:c r="G10" s="33" t="n">
        <x:v>0.05263157894736842</x:v>
      </x:c>
      <x:c r="H10" s="35" t="n">
        <x:v>-0.3601106926998806</x:v>
      </x:c>
      <x:c r="I10" s="33" t="n">
        <x:v>0.21052631578947367</x:v>
      </x:c>
      <x:c r="J10" s="35" t="n">
        <x:v>0.6113601094987705</x:v>
      </x:c>
      <x:c r="K10" s="33" t="n">
        <x:v>0.10526315789473689</x:v>
      </x:c>
      <x:c r="L10" s="35" t="n">
        <x:v>0.0055124764141557</x:v>
      </x:c>
      <x:c r="M10" s="19" t="str">
        <x:v>Passing control; Defensive intensity</x:v>
      </x:c>
      <x:c r="N10" s="19" t="str">
        <x:v>Scoring threat; Progression</x:v>
      </x:c>
      <x:c r="O10" s="19" t="str">
        <x:v>Defensive intensity; Midfield creativity</x:v>
      </x:c>
      <x:c r="P10" s="19" t="str">
        <x:v>Forward threat; Forward mobility</x:v>
      </x:c>
      <x:c r="Q10" s="19" t="str">
        <x:v>Midfield aggression (+0.688); Midfield creativity (+0.318)</x:v>
      </x:c>
      <x:c r="R10" s="19" t="str">
        <x:v>Closest style alignment: Passing control, Defensive intensity. Largest style gaps: Scoring threat, Progression. Closest historical preference contexts: Defensive intensity, Midfield creativity.</x:v>
      </x:c>
    </x:row>
    <x:row r="11" ht="38" customHeight="1">
      <x:c r="A11" s="15" t="str">
        <x:v>case_09</x:v>
      </x:c>
      <x:c r="B11" s="15" t="str">
        <x:v>Yayah Kallon</x:v>
      </x:c>
      <x:c r="C11" s="15" t="str">
        <x:v>Hellas Verona</x:v>
      </x:c>
      <x:c r="D11" s="38"/>
      <x:c r="E11" s="34"/>
      <x:c r="F11" s="38" t="n">
        <x:v>67.812591144312</x:v>
      </x:c>
      <x:c r="G11" s="34" t="n">
        <x:v>0.10526315789473684</x:v>
      </x:c>
      <x:c r="H11" s="36" t="n">
        <x:v>-0.1749126108538832</x:v>
      </x:c>
      <x:c r="I11" s="34" t="n">
        <x:v>0.3684210526315789</x:v>
      </x:c>
      <x:c r="J11" s="36" t="n">
        <x:v>0.4366124590404112</x:v>
      </x:c>
      <x:c r="K11" s="34" t="n">
        <x:v>0.31578947368421056</x:v>
      </x:c>
      <x:c r="L11" s="36"/>
      <x:c r="M11" s="20" t="str">
        <x:v>Dribble aggression; Progression</x:v>
      </x:c>
      <x:c r="N11" s="20" t="str">
        <x:v>Scoring threat; Defensive intensity</x:v>
      </x:c>
      <x:c r="O11" s="20" t="str">
        <x:v>Forward mobility; Team passing control</x:v>
      </x:c>
      <x:c r="P11" s="20" t="str">
        <x:v>Forward threat; Midfield creativity</x:v>
      </x:c>
      <x:c r="Q11" s="20"/>
      <x:c r="R11" s="20" t="str">
        <x:v>Closest style alignment: Dribble aggression, Progression. Largest style gaps: Scoring threat, Defensive intensity. Closest historical preference contexts: Forward mobility, Team passing control.</x:v>
      </x:c>
    </x:row>
    <x:row r="12" ht="38" customHeight="1">
      <x:c r="A12" s="17" t="str">
        <x:v>case_02</x:v>
      </x:c>
      <x:c r="B12" s="17" t="str">
        <x:v>Óscar Rodríguez Arnaiz</x:v>
      </x:c>
      <x:c r="C12" s="17" t="str">
        <x:v>Celta de Vigo</x:v>
      </x:c>
      <x:c r="D12" s="37" t="n">
        <x:v>81.57407022746271</x:v>
      </x:c>
      <x:c r="E12" s="33" t="n">
        <x:v>0.6875</x:v>
      </x:c>
      <x:c r="F12" s="37" t="n">
        <x:v>81.60904738002469</x:v>
      </x:c>
      <x:c r="G12" s="33" t="n">
        <x:v>0.631578947368421</x:v>
      </x:c>
      <x:c r="H12" s="35" t="n">
        <x:v>0.4948644155184432</x:v>
      </x:c>
      <x:c r="I12" s="33" t="n">
        <x:v>0.7368421052631579</x:v>
      </x:c>
      <x:c r="J12" s="35" t="n">
        <x:v>0.1222472427235794</x:v>
      </x:c>
      <x:c r="K12" s="33" t="n">
        <x:v>0.9473684210526316</x:v>
      </x:c>
      <x:c r="L12" s="35" t="n">
        <x:v>-0.0008953189019354</x:v>
      </x:c>
      <x:c r="M12" s="19" t="str">
        <x:v>Directness; Progression</x:v>
      </x:c>
      <x:c r="N12" s="19" t="str">
        <x:v>Dribble aggression; Scoring threat</x:v>
      </x:c>
      <x:c r="O12" s="19" t="str">
        <x:v>Defensive intensity; Midfield aggression</x:v>
      </x:c>
      <x:c r="P12" s="19" t="str">
        <x:v>Team passing control; Forward threat</x:v>
      </x:c>
      <x:c r="Q12" s="19" t="str">
        <x:v>Defensive intensity (+0.312); Midfield aggression (+0.258)</x:v>
      </x:c>
      <x:c r="R12" s="19" t="str">
        <x:v>Closest style alignment: Directness, Progression. Largest style gaps: Dribble aggression, Scoring threat. Closest historical preference contexts: Defensive intensity, Midfield aggression.</x:v>
      </x:c>
    </x:row>
    <x:row r="13" ht="38" customHeight="1">
      <x:c r="A13" s="15" t="str">
        <x:v>case_12</x:v>
      </x:c>
      <x:c r="B13" s="15" t="str">
        <x:v>Antonio Candreva</x:v>
      </x:c>
      <x:c r="C13" s="15" t="str">
        <x:v>US Salernitana 1919</x:v>
      </x:c>
      <x:c r="D13" s="38" t="n">
        <x:v>81.70679141396107</x:v>
      </x:c>
      <x:c r="E13" s="34" t="n">
        <x:v>0.4117647058823529</x:v>
      </x:c>
      <x:c r="F13" s="38" t="n">
        <x:v>81.78222496748087</x:v>
      </x:c>
      <x:c r="G13" s="34" t="n">
        <x:v>0.3888888888888889</x:v>
      </x:c>
      <x:c r="H13" s="36" t="n">
        <x:v>-0.2756670784925881</x:v>
      </x:c>
      <x:c r="I13" s="34" t="n">
        <x:v>0.16666666666666666</x:v>
      </x:c>
      <x:c r="J13" s="36" t="n">
        <x:v>0.4488853288119264</x:v>
      </x:c>
      <x:c r="K13" s="34" t="n">
        <x:v>0.33333333333333337</x:v>
      </x:c>
      <x:c r="L13" s="36" t="n">
        <x:v>-0.0085087905750746</x:v>
      </x:c>
      <x:c r="M13" s="20" t="str">
        <x:v>Passing control; Dribble aggression</x:v>
      </x:c>
      <x:c r="N13" s="20" t="str">
        <x:v>Creation; Progression</x:v>
      </x:c>
      <x:c r="O13" s="20" t="str">
        <x:v>Defensive intensity; Forward mobility</x:v>
      </x:c>
      <x:c r="P13" s="20" t="str">
        <x:v>Forward threat; Midfield creativity</x:v>
      </x:c>
      <x:c r="Q13" s="20" t="str">
        <x:v>Defensive intensity (+0.800); Forward mobility (+0.146)</x:v>
      </x:c>
      <x:c r="R13" s="20" t="str">
        <x:v>Closest style alignment: Passing control, Dribble aggression. Largest style gaps: Creation, Progression. Closest historical preference contexts: Defensive intensity, Forward mobility.</x:v>
      </x:c>
    </x:row>
    <x:row r="14" ht="38" customHeight="1">
      <x:c r="A14" s="17" t="str">
        <x:v>case_08</x:v>
      </x:c>
      <x:c r="B14" s="17" t="str">
        <x:v>Aridane Hernández</x:v>
      </x:c>
      <x:c r="C14" s="17" t="str">
        <x:v>Rayo Vallecano</x:v>
      </x:c>
      <x:c r="D14" s="37" t="n">
        <x:v>84.52465015377192</x:v>
      </x:c>
      <x:c r="E14" s="33" t="n">
        <x:v>0.7777777777777778</x:v>
      </x:c>
      <x:c r="F14" s="37" t="n">
        <x:v>84.55375210848788</x:v>
      </x:c>
      <x:c r="G14" s="33" t="n">
        <x:v>0.7</x:v>
      </x:c>
      <x:c r="H14" s="35" t="n">
        <x:v>-0.0294136284593745</x:v>
      </x:c>
      <x:c r="I14" s="33" t="n">
        <x:v>0.4</x:v>
      </x:c>
      <x:c r="J14" s="35" t="n">
        <x:v>0.4524183430948271</x:v>
      </x:c>
      <x:c r="K14" s="33" t="n">
        <x:v>0.19999999999999998</x:v>
      </x:c>
      <x:c r="L14" s="35" t="n">
        <x:v>0.0233359137576092</x:v>
      </x:c>
      <x:c r="M14" s="19" t="str">
        <x:v>Passing control; Defensive intensity</x:v>
      </x:c>
      <x:c r="N14" s="19" t="str">
        <x:v>Aerial physicality; Progression</x:v>
      </x:c>
      <x:c r="O14" s="19" t="str">
        <x:v>Midfield creativity; Forward mobility</x:v>
      </x:c>
      <x:c r="P14" s="19" t="str">
        <x:v>Team passing control; Defensive intensity</x:v>
      </x:c>
      <x:c r="Q14" s="19" t="str">
        <x:v>Midfield creativity (-1.050); Defensive intensity (-0.360)</x:v>
      </x:c>
      <x:c r="R14" s="19" t="str">
        <x:v>Closest style alignment: Passing control, Defensive intensity. Largest style gaps: Aerial physicality, Progression. Closest historical preference contexts: Midfield creativity, Forward mobility.</x:v>
      </x:c>
    </x:row>
    <x:row r="15" ht="38" customHeight="1">
      <x:c r="A15" s="15" t="str">
        <x:v>case_06</x:v>
      </x:c>
      <x:c r="B15" s="15" t="str">
        <x:v>Faride Alidou</x:v>
      </x:c>
      <x:c r="C15" s="15" t="str">
        <x:v>1.FC Köln</x:v>
      </x:c>
      <x:c r="D15" s="38"/>
      <x:c r="E15" s="34"/>
      <x:c r="F15" s="38" t="n">
        <x:v>79.24260631087769</x:v>
      </x:c>
      <x:c r="G15" s="34" t="n">
        <x:v>0.5454545454545454</x:v>
      </x:c>
      <x:c r="H15" s="36" t="n">
        <x:v>-0.2405299055745076</x:v>
      </x:c>
      <x:c r="I15" s="34" t="n">
        <x:v>0.36363636363636365</x:v>
      </x:c>
      <x:c r="J15" s="36" t="n">
        <x:v>1.1588889442726744</x:v>
      </x:c>
      <x:c r="K15" s="34" t="n">
        <x:v>0.09090909090909091</x:v>
      </x:c>
      <x:c r="L15" s="36"/>
      <x:c r="M15" s="20" t="str">
        <x:v>Directness; Defensive intensity</x:v>
      </x:c>
      <x:c r="N15" s="20" t="str">
        <x:v>Creation; Dribble aggression</x:v>
      </x:c>
      <x:c r="O15" s="20" t="str">
        <x:v>Midfield creativity; Team passing control</x:v>
      </x:c>
      <x:c r="P15" s="20" t="str">
        <x:v>Forward threat; Forward mobility</x:v>
      </x:c>
      <x:c r="Q15" s="20"/>
      <x:c r="R15" s="20" t="str">
        <x:v>Closest style alignment: Directness, Defensive intensity. Largest style gaps: Creation, Dribble aggression. Closest historical preference contexts: Midfield creativity, Team passing control.</x:v>
      </x:c>
    </x:row>
    <x:row r="16" ht="38" customHeight="1">
      <x:c r="A16" s="17" t="str">
        <x:v>case_03</x:v>
      </x:c>
      <x:c r="B16" s="17" t="str">
        <x:v>Jorge Meré</x:v>
      </x:c>
      <x:c r="C16" s="17" t="str">
        <x:v>Cádiz CF</x:v>
      </x:c>
      <x:c r="D16" s="37" t="n">
        <x:v>82.90168593620626</x:v>
      </x:c>
      <x:c r="E16" s="33" t="n">
        <x:v>0.6666666666666666</x:v>
      </x:c>
      <x:c r="F16" s="37" t="n">
        <x:v>82.4831338349125</x:v>
      </x:c>
      <x:c r="G16" s="33" t="n">
        <x:v>0.6</x:v>
      </x:c>
      <x:c r="H16" s="35" t="n">
        <x:v>0.8311348590775443</x:v>
      </x:c>
      <x:c r="I16" s="33" t="n">
        <x:v>1</x:v>
      </x:c>
      <x:c r="J16" s="35" t="n">
        <x:v>0.3168944331963637</x:v>
      </x:c>
      <x:c r="K16" s="33" t="n">
        <x:v>0.6</x:v>
      </x:c>
      <x:c r="L16" s="35" t="n">
        <x:v>-0.0356047562978482</x:v>
      </x:c>
      <x:c r="M16" s="19" t="str">
        <x:v>Directness; Defensive intensity</x:v>
      </x:c>
      <x:c r="N16" s="19" t="str">
        <x:v>Passing control; Scoring threat</x:v>
      </x:c>
      <x:c r="O16" s="19" t="str">
        <x:v>Forward threat; Midfield aggression</x:v>
      </x:c>
      <x:c r="P16" s="19" t="str">
        <x:v>Team passing control; Midfield creativity</x:v>
      </x:c>
      <x:c r="Q16" s="19" t="str">
        <x:v>Defensive intensity (+0.538); Midfield aggression (+0.434)</x:v>
      </x:c>
      <x:c r="R16" s="19" t="str">
        <x:v>Closest style alignment: Directness, Defensive intensity. Largest style gaps: Passing control, Scoring threat. Closest historical preference contexts: Forward threat, Midfield aggression.</x:v>
      </x:c>
    </x:row>
    <x:row r="17" ht="38" customHeight="1">
      <x:c r="A17" s="15" t="str">
        <x:v>case_07</x:v>
      </x:c>
      <x:c r="B17" s="15" t="str">
        <x:v>Oriol Romeu</x:v>
      </x:c>
      <x:c r="C17" s="15" t="str">
        <x:v>FC Barcelona</x:v>
      </x:c>
      <x:c r="D17" s="38" t="n">
        <x:v>61.36865067898329</x:v>
      </x:c>
      <x:c r="E17" s="34" t="n">
        <x:v>0.058823529411764705</x:v>
      </x:c>
      <x:c r="F17" s="38" t="n">
        <x:v>61.22287692868633</x:v>
      </x:c>
      <x:c r="G17" s="34" t="n">
        <x:v>0.05555555555555555</x:v>
      </x:c>
      <x:c r="H17" s="36" t="n">
        <x:v>-0.1827875648316985</x:v>
      </x:c>
      <x:c r="I17" s="34" t="n">
        <x:v>0.2222222222222222</x:v>
      </x:c>
      <x:c r="J17" s="36" t="n">
        <x:v>0.6388457419987591</x:v>
      </x:c>
      <x:c r="K17" s="34" t="n">
        <x:v>0.05555555555555555</x:v>
      </x:c>
      <x:c r="L17" s="36" t="n">
        <x:v>-0.0307171324950698</x:v>
      </x:c>
      <x:c r="M17" s="20" t="str">
        <x:v>Passing control; Aerial physicality</x:v>
      </x:c>
      <x:c r="N17" s="20" t="str">
        <x:v>Progression; Creation</x:v>
      </x:c>
      <x:c r="O17" s="20" t="str">
        <x:v>Midfield creativity; Midfield aggression</x:v>
      </x:c>
      <x:c r="P17" s="20" t="str">
        <x:v>Team passing control; Forward mobility</x:v>
      </x:c>
      <x:c r="Q17" s="20" t="str">
        <x:v>Midfield creativity (-0.402); Forward mobility (+0.322)</x:v>
      </x:c>
      <x:c r="R17" s="20" t="str">
        <x:v>Closest style alignment: Passing control, Aerial physicality. Largest style gaps: Progression, Creation. Closest historical preference contexts: Midfield creativity, Midfield aggression.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4a7bef5612c84a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25" hidden="0" customWidth="1"/>
    <x:col min="4" max="4" width="25" hidden="0" customWidth="1"/>
    <x:col min="5" max="5" width="24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5" hidden="0" customWidth="1"/>
    <x:col min="11" max="11" width="19" hidden="0" customWidth="1"/>
  </x:cols>
  <x:sheetData>
    <x:row r="1" ht="23" customHeight="1">
      <x:c r="A1" s="3" t="str">
        <x:v>Player versus destination style profiles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30" customHeight="1">
      <x:c r="A3" s="7" t="str">
        <x:v>Player values use pre-move rolling-three-season style; destination values use the prior club-season teammate profile.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5" ht="34" customHeight="1">
      <x:c r="A5" s="14" t="str">
        <x:v>Lookup Key</x:v>
      </x:c>
      <x:c r="B5" s="14" t="str">
        <x:v>Case ID</x:v>
      </x:c>
      <x:c r="C5" s="14" t="str">
        <x:v>Player</x:v>
      </x:c>
      <x:c r="D5" s="14" t="str">
        <x:v>Destination</x:v>
      </x:c>
      <x:c r="E5" s="14" t="str">
        <x:v>Style Dimension</x:v>
      </x:c>
      <x:c r="F5" s="14" t="str">
        <x:v>Style Label</x:v>
      </x:c>
      <x:c r="G5" s="14" t="str">
        <x:v>Player Rolling-3 z</x:v>
      </x:c>
      <x:c r="H5" s="14" t="str">
        <x:v>Destination Prior-Team z</x:v>
      </x:c>
      <x:c r="I5" s="14" t="str">
        <x:v>Player - Team Gap</x:v>
      </x:c>
      <x:c r="J5" s="14" t="str">
        <x:v>Absolute Gap</x:v>
      </x:c>
      <x:c r="K5" s="14" t="str">
        <x:v>Alignment</x:v>
      </x:c>
    </x:row>
    <x:row r="6" ht="23" customHeight="1">
      <x:c r="A6" s="19" t="str">
        <x:v>case_01|aerial_physicality</x:v>
      </x:c>
      <x:c r="B6" s="17" t="str">
        <x:v>case_01</x:v>
      </x:c>
      <x:c r="C6" s="17" t="str">
        <x:v>Craig Dawson</x:v>
      </x:c>
      <x:c r="D6" s="17" t="str">
        <x:v>West Ham United</x:v>
      </x:c>
      <x:c r="E6" s="17" t="str">
        <x:v>aerial_physicality</x:v>
      </x:c>
      <x:c r="F6" s="17" t="str">
        <x:v>Aerial physicality</x:v>
      </x:c>
      <x:c r="G6" s="39" t="n">
        <x:v>0.8805096121352031</x:v>
      </x:c>
      <x:c r="H6" s="39" t="n">
        <x:v>0.1378126902241505</x:v>
      </x:c>
      <x:c r="I6" s="39" t="n">
        <x:f>G6-H6</x:f>
        <x:v>0.7426969219110526</x:v>
      </x:c>
      <x:c r="J6" s="39" t="n">
        <x:f>ABS(I6)</x:f>
        <x:v>0.7426969219110526</x:v>
      </x:c>
      <x:c r="K6" s="17" t="str">
        <x:f>IF(J6&lt;=0.35,"Close Alignment",IF(J6&lt;=0.85,"Moderate Gap","Large Gap"))</x:f>
        <x:v>Moderate Gap</x:v>
      </x:c>
    </x:row>
    <x:row r="7" ht="23" customHeight="1">
      <x:c r="A7" s="20" t="str">
        <x:v>case_01|creation</x:v>
      </x:c>
      <x:c r="B7" s="15" t="str">
        <x:v>case_01</x:v>
      </x:c>
      <x:c r="C7" s="15" t="str">
        <x:v>Craig Dawson</x:v>
      </x:c>
      <x:c r="D7" s="15" t="str">
        <x:v>West Ham United</x:v>
      </x:c>
      <x:c r="E7" s="15" t="str">
        <x:v>creation</x:v>
      </x:c>
      <x:c r="F7" s="15" t="str">
        <x:v>Creation</x:v>
      </x:c>
      <x:c r="G7" s="40" t="n">
        <x:v>-0.6259279205173369</x:v>
      </x:c>
      <x:c r="H7" s="40" t="n">
        <x:v>0.1407570969387528</x:v>
      </x:c>
      <x:c r="I7" s="40" t="n">
        <x:f>G7-H7</x:f>
        <x:v>-0.7666850174560897</x:v>
      </x:c>
      <x:c r="J7" s="40" t="n">
        <x:f>ABS(I7)</x:f>
        <x:v>0.7666850174560897</x:v>
      </x:c>
      <x:c r="K7" s="15" t="str">
        <x:f>IF(J7&lt;=0.35,"Close Alignment",IF(J7&lt;=0.85,"Moderate Gap","Large Gap"))</x:f>
        <x:v>Moderate Gap</x:v>
      </x:c>
    </x:row>
    <x:row r="8" ht="23" customHeight="1">
      <x:c r="A8" s="19" t="str">
        <x:v>case_01|defensive_intensity</x:v>
      </x:c>
      <x:c r="B8" s="17" t="str">
        <x:v>case_01</x:v>
      </x:c>
      <x:c r="C8" s="17" t="str">
        <x:v>Craig Dawson</x:v>
      </x:c>
      <x:c r="D8" s="17" t="str">
        <x:v>West Ham United</x:v>
      </x:c>
      <x:c r="E8" s="17" t="str">
        <x:v>defensive_intensity</x:v>
      </x:c>
      <x:c r="F8" s="17" t="str">
        <x:v>Defensive intensity</x:v>
      </x:c>
      <x:c r="G8" s="39" t="n">
        <x:v>-0.1600487517106927</x:v>
      </x:c>
      <x:c r="H8" s="39" t="n">
        <x:v>-0.0034522349909793</x:v>
      </x:c>
      <x:c r="I8" s="39" t="n">
        <x:f>G8-H8</x:f>
        <x:v>-0.1565965167197134</x:v>
      </x:c>
      <x:c r="J8" s="39" t="n">
        <x:f>ABS(I8)</x:f>
        <x:v>0.1565965167197134</x:v>
      </x:c>
      <x:c r="K8" s="17" t="str">
        <x:f>IF(J8&lt;=0.35,"Close Alignment",IF(J8&lt;=0.85,"Moderate Gap","Large Gap"))</x:f>
        <x:v>Close Alignment</x:v>
      </x:c>
    </x:row>
    <x:row r="9" ht="23" customHeight="1">
      <x:c r="A9" s="20" t="str">
        <x:v>case_01|directness</x:v>
      </x:c>
      <x:c r="B9" s="15" t="str">
        <x:v>case_01</x:v>
      </x:c>
      <x:c r="C9" s="15" t="str">
        <x:v>Craig Dawson</x:v>
      </x:c>
      <x:c r="D9" s="15" t="str">
        <x:v>West Ham United</x:v>
      </x:c>
      <x:c r="E9" s="15" t="str">
        <x:v>directness</x:v>
      </x:c>
      <x:c r="F9" s="15" t="str">
        <x:v>Directness</x:v>
      </x:c>
      <x:c r="G9" s="40" t="n">
        <x:v>-0.1527977070695591</x:v>
      </x:c>
      <x:c r="H9" s="40" t="n">
        <x:v>0.0374977230385627</x:v>
      </x:c>
      <x:c r="I9" s="40" t="n">
        <x:f>G9-H9</x:f>
        <x:v>-0.1902954301081218</x:v>
      </x:c>
      <x:c r="J9" s="40" t="n">
        <x:f>ABS(I9)</x:f>
        <x:v>0.1902954301081218</x:v>
      </x:c>
      <x:c r="K9" s="15" t="str">
        <x:f>IF(J9&lt;=0.35,"Close Alignment",IF(J9&lt;=0.85,"Moderate Gap","Large Gap"))</x:f>
        <x:v>Close Alignment</x:v>
      </x:c>
    </x:row>
    <x:row r="10" ht="23" customHeight="1">
      <x:c r="A10" s="19" t="str">
        <x:v>case_01|dribble_aggression</x:v>
      </x:c>
      <x:c r="B10" s="17" t="str">
        <x:v>case_01</x:v>
      </x:c>
      <x:c r="C10" s="17" t="str">
        <x:v>Craig Dawson</x:v>
      </x:c>
      <x:c r="D10" s="17" t="str">
        <x:v>West Ham United</x:v>
      </x:c>
      <x:c r="E10" s="17" t="str">
        <x:v>dribble_aggression</x:v>
      </x:c>
      <x:c r="F10" s="17" t="str">
        <x:v>Dribble aggression</x:v>
      </x:c>
      <x:c r="G10" s="39" t="n">
        <x:v>-0.2207296629756537</x:v>
      </x:c>
      <x:c r="H10" s="39" t="n">
        <x:v>-0.070040943320158</x:v>
      </x:c>
      <x:c r="I10" s="39" t="n">
        <x:f>G10-H10</x:f>
        <x:v>-0.15068871965549568</x:v>
      </x:c>
      <x:c r="J10" s="39" t="n">
        <x:f>ABS(I10)</x:f>
        <x:v>0.15068871965549568</x:v>
      </x:c>
      <x:c r="K10" s="17" t="str">
        <x:f>IF(J10&lt;=0.35,"Close Alignment",IF(J10&lt;=0.85,"Moderate Gap","Large Gap"))</x:f>
        <x:v>Close Alignment</x:v>
      </x:c>
    </x:row>
    <x:row r="11" ht="23" customHeight="1">
      <x:c r="A11" s="20" t="str">
        <x:v>case_01|passing_control</x:v>
      </x:c>
      <x:c r="B11" s="15" t="str">
        <x:v>case_01</x:v>
      </x:c>
      <x:c r="C11" s="15" t="str">
        <x:v>Craig Dawson</x:v>
      </x:c>
      <x:c r="D11" s="15" t="str">
        <x:v>West Ham United</x:v>
      </x:c>
      <x:c r="E11" s="15" t="str">
        <x:v>passing_control</x:v>
      </x:c>
      <x:c r="F11" s="15" t="str">
        <x:v>Passing control</x:v>
      </x:c>
      <x:c r="G11" s="40" t="n">
        <x:v>-0.194573966095032</x:v>
      </x:c>
      <x:c r="H11" s="40" t="n">
        <x:v>-0.1080497709762582</x:v>
      </x:c>
      <x:c r="I11" s="40" t="n">
        <x:f>G11-H11</x:f>
        <x:v>-0.0865241951187738</x:v>
      </x:c>
      <x:c r="J11" s="40" t="n">
        <x:f>ABS(I11)</x:f>
        <x:v>0.0865241951187738</x:v>
      </x:c>
      <x:c r="K11" s="15" t="str">
        <x:f>IF(J11&lt;=0.35,"Close Alignment",IF(J11&lt;=0.85,"Moderate Gap","Large Gap"))</x:f>
        <x:v>Close Alignment</x:v>
      </x:c>
    </x:row>
    <x:row r="12" ht="23" customHeight="1">
      <x:c r="A12" s="19" t="str">
        <x:v>case_01|progression</x:v>
      </x:c>
      <x:c r="B12" s="17" t="str">
        <x:v>case_01</x:v>
      </x:c>
      <x:c r="C12" s="17" t="str">
        <x:v>Craig Dawson</x:v>
      </x:c>
      <x:c r="D12" s="17" t="str">
        <x:v>West Ham United</x:v>
      </x:c>
      <x:c r="E12" s="17" t="str">
        <x:v>progression</x:v>
      </x:c>
      <x:c r="F12" s="17" t="str">
        <x:v>Progression</x:v>
      </x:c>
      <x:c r="G12" s="39" t="n">
        <x:v>-0.7224518076993031</x:v>
      </x:c>
      <x:c r="H12" s="39" t="n">
        <x:v>-0.0254767609268862</x:v>
      </x:c>
      <x:c r="I12" s="39" t="n">
        <x:f>G12-H12</x:f>
        <x:v>-0.6969750467724168</x:v>
      </x:c>
      <x:c r="J12" s="39" t="n">
        <x:f>ABS(I12)</x:f>
        <x:v>0.6969750467724168</x:v>
      </x:c>
      <x:c r="K12" s="17" t="str">
        <x:f>IF(J12&lt;=0.35,"Close Alignment",IF(J12&lt;=0.85,"Moderate Gap","Large Gap"))</x:f>
        <x:v>Moderate Gap</x:v>
      </x:c>
    </x:row>
    <x:row r="13" ht="23" customHeight="1">
      <x:c r="A13" s="20" t="str">
        <x:v>case_01|scoring_threat</x:v>
      </x:c>
      <x:c r="B13" s="15" t="str">
        <x:v>case_01</x:v>
      </x:c>
      <x:c r="C13" s="15" t="str">
        <x:v>Craig Dawson</x:v>
      </x:c>
      <x:c r="D13" s="15" t="str">
        <x:v>West Ham United</x:v>
      </x:c>
      <x:c r="E13" s="15" t="str">
        <x:v>scoring_threat</x:v>
      </x:c>
      <x:c r="F13" s="15" t="str">
        <x:v>Scoring threat</x:v>
      </x:c>
      <x:c r="G13" s="40" t="n">
        <x:v>0.8101530830879725</x:v>
      </x:c>
      <x:c r="H13" s="40" t="n">
        <x:v>0.1602255720818634</x:v>
      </x:c>
      <x:c r="I13" s="40" t="n">
        <x:f>G13-H13</x:f>
        <x:v>0.6499275110061091</x:v>
      </x:c>
      <x:c r="J13" s="40" t="n">
        <x:f>ABS(I13)</x:f>
        <x:v>0.6499275110061091</x:v>
      </x:c>
      <x:c r="K13" s="15" t="str">
        <x:f>IF(J13&lt;=0.35,"Close Alignment",IF(J13&lt;=0.85,"Moderate Gap","Large Gap"))</x:f>
        <x:v>Moderate Gap</x:v>
      </x:c>
    </x:row>
    <x:row r="14" ht="23" customHeight="1">
      <x:c r="A14" s="19" t="str">
        <x:v>case_04|aerial_physicality</x:v>
      </x:c>
      <x:c r="B14" s="17" t="str">
        <x:v>case_04</x:v>
      </x:c>
      <x:c r="C14" s="17" t="str">
        <x:v>Keita Baldé</x:v>
      </x:c>
      <x:c r="D14" s="17" t="str">
        <x:v>Cagliari Calcio</x:v>
      </x:c>
      <x:c r="E14" s="17" t="str">
        <x:v>aerial_physicality</x:v>
      </x:c>
      <x:c r="F14" s="17" t="str">
        <x:v>Aerial physicality</x:v>
      </x:c>
      <x:c r="G14" s="39" t="n">
        <x:v>-0.3297189171461486</x:v>
      </x:c>
      <x:c r="H14" s="39" t="n">
        <x:v>0.2337402133496041</x:v>
      </x:c>
      <x:c r="I14" s="39" t="n">
        <x:f>G14-H14</x:f>
        <x:v>-0.5634591304957527</x:v>
      </x:c>
      <x:c r="J14" s="39" t="n">
        <x:f>ABS(I14)</x:f>
        <x:v>0.5634591304957527</x:v>
      </x:c>
      <x:c r="K14" s="17" t="str">
        <x:f>IF(J14&lt;=0.35,"Close Alignment",IF(J14&lt;=0.85,"Moderate Gap","Large Gap"))</x:f>
        <x:v>Moderate Gap</x:v>
      </x:c>
    </x:row>
    <x:row r="15" ht="23" customHeight="1">
      <x:c r="A15" s="20" t="str">
        <x:v>case_04|creation</x:v>
      </x:c>
      <x:c r="B15" s="15" t="str">
        <x:v>case_04</x:v>
      </x:c>
      <x:c r="C15" s="15" t="str">
        <x:v>Keita Baldé</x:v>
      </x:c>
      <x:c r="D15" s="15" t="str">
        <x:v>Cagliari Calcio</x:v>
      </x:c>
      <x:c r="E15" s="15" t="str">
        <x:v>creation</x:v>
      </x:c>
      <x:c r="F15" s="15" t="str">
        <x:v>Creation</x:v>
      </x:c>
      <x:c r="G15" s="40" t="n">
        <x:v>0.1804602125570016</x:v>
      </x:c>
      <x:c r="H15" s="40" t="n">
        <x:v>-0.0523712058727061</x:v>
      </x:c>
      <x:c r="I15" s="40" t="n">
        <x:f>G15-H15</x:f>
        <x:v>0.2328314184297077</x:v>
      </x:c>
      <x:c r="J15" s="40" t="n">
        <x:f>ABS(I15)</x:f>
        <x:v>0.2328314184297077</x:v>
      </x:c>
      <x:c r="K15" s="15" t="str">
        <x:f>IF(J15&lt;=0.35,"Close Alignment",IF(J15&lt;=0.85,"Moderate Gap","Large Gap"))</x:f>
        <x:v>Close Alignment</x:v>
      </x:c>
    </x:row>
    <x:row r="16" ht="23" customHeight="1">
      <x:c r="A16" s="19" t="str">
        <x:v>case_04|defensive_intensity</x:v>
      </x:c>
      <x:c r="B16" s="17" t="str">
        <x:v>case_04</x:v>
      </x:c>
      <x:c r="C16" s="17" t="str">
        <x:v>Keita Baldé</x:v>
      </x:c>
      <x:c r="D16" s="17" t="str">
        <x:v>Cagliari Calcio</x:v>
      </x:c>
      <x:c r="E16" s="17" t="str">
        <x:v>defensive_intensity</x:v>
      </x:c>
      <x:c r="F16" s="17" t="str">
        <x:v>Defensive intensity</x:v>
      </x:c>
      <x:c r="G16" s="39" t="n">
        <x:v>-0.2597505091282244</x:v>
      </x:c>
      <x:c r="H16" s="39" t="n">
        <x:v>-0.0096441412160729</x:v>
      </x:c>
      <x:c r="I16" s="39" t="n">
        <x:f>G16-H16</x:f>
        <x:v>-0.2501063679121515</x:v>
      </x:c>
      <x:c r="J16" s="39" t="n">
        <x:f>ABS(I16)</x:f>
        <x:v>0.2501063679121515</x:v>
      </x:c>
      <x:c r="K16" s="17" t="str">
        <x:f>IF(J16&lt;=0.35,"Close Alignment",IF(J16&lt;=0.85,"Moderate Gap","Large Gap"))</x:f>
        <x:v>Close Alignment</x:v>
      </x:c>
    </x:row>
    <x:row r="17" ht="23" customHeight="1">
      <x:c r="A17" s="20" t="str">
        <x:v>case_04|directness</x:v>
      </x:c>
      <x:c r="B17" s="15" t="str">
        <x:v>case_04</x:v>
      </x:c>
      <x:c r="C17" s="15" t="str">
        <x:v>Keita Baldé</x:v>
      </x:c>
      <x:c r="D17" s="15" t="str">
        <x:v>Cagliari Calcio</x:v>
      </x:c>
      <x:c r="E17" s="15" t="str">
        <x:v>directness</x:v>
      </x:c>
      <x:c r="F17" s="15" t="str">
        <x:v>Directness</x:v>
      </x:c>
      <x:c r="G17" s="40" t="n">
        <x:v>0.1547053242324727</x:v>
      </x:c>
      <x:c r="H17" s="40" t="n">
        <x:v>-0.1520715021466178</x:v>
      </x:c>
      <x:c r="I17" s="40" t="n">
        <x:f>G17-H17</x:f>
        <x:v>0.30677682637909054</x:v>
      </x:c>
      <x:c r="J17" s="40" t="n">
        <x:f>ABS(I17)</x:f>
        <x:v>0.30677682637909054</x:v>
      </x:c>
      <x:c r="K17" s="15" t="str">
        <x:f>IF(J17&lt;=0.35,"Close Alignment",IF(J17&lt;=0.85,"Moderate Gap","Large Gap"))</x:f>
        <x:v>Close Alignment</x:v>
      </x:c>
    </x:row>
    <x:row r="18" ht="23" customHeight="1">
      <x:c r="A18" s="19" t="str">
        <x:v>case_04|dribble_aggression</x:v>
      </x:c>
      <x:c r="B18" s="17" t="str">
        <x:v>case_04</x:v>
      </x:c>
      <x:c r="C18" s="17" t="str">
        <x:v>Keita Baldé</x:v>
      </x:c>
      <x:c r="D18" s="17" t="str">
        <x:v>Cagliari Calcio</x:v>
      </x:c>
      <x:c r="E18" s="17" t="str">
        <x:v>dribble_aggression</x:v>
      </x:c>
      <x:c r="F18" s="17" t="str">
        <x:v>Dribble aggression</x:v>
      </x:c>
      <x:c r="G18" s="39" t="n">
        <x:v>0.502204838907858</x:v>
      </x:c>
      <x:c r="H18" s="39" t="n">
        <x:v>-0.1135333483239168</x:v>
      </x:c>
      <x:c r="I18" s="39" t="n">
        <x:f>G18-H18</x:f>
        <x:v>0.6157381872317749</x:v>
      </x:c>
      <x:c r="J18" s="39" t="n">
        <x:f>ABS(I18)</x:f>
        <x:v>0.6157381872317749</x:v>
      </x:c>
      <x:c r="K18" s="17" t="str">
        <x:f>IF(J18&lt;=0.35,"Close Alignment",IF(J18&lt;=0.85,"Moderate Gap","Large Gap"))</x:f>
        <x:v>Moderate Gap</x:v>
      </x:c>
    </x:row>
    <x:row r="19" ht="23" customHeight="1">
      <x:c r="A19" s="20" t="str">
        <x:v>case_04|passing_control</x:v>
      </x:c>
      <x:c r="B19" s="15" t="str">
        <x:v>case_04</x:v>
      </x:c>
      <x:c r="C19" s="15" t="str">
        <x:v>Keita Baldé</x:v>
      </x:c>
      <x:c r="D19" s="15" t="str">
        <x:v>Cagliari Calcio</x:v>
      </x:c>
      <x:c r="E19" s="15" t="str">
        <x:v>passing_control</x:v>
      </x:c>
      <x:c r="F19" s="15" t="str">
        <x:v>Passing control</x:v>
      </x:c>
      <x:c r="G19" s="40" t="n">
        <x:v>0.1779249030888416</x:v>
      </x:c>
      <x:c r="H19" s="40" t="n">
        <x:v>-0.0412843169158303</x:v>
      </x:c>
      <x:c r="I19" s="40" t="n">
        <x:f>G19-H19</x:f>
        <x:v>0.2192092200046719</x:v>
      </x:c>
      <x:c r="J19" s="40" t="n">
        <x:f>ABS(I19)</x:f>
        <x:v>0.2192092200046719</x:v>
      </x:c>
      <x:c r="K19" s="15" t="str">
        <x:f>IF(J19&lt;=0.35,"Close Alignment",IF(J19&lt;=0.85,"Moderate Gap","Large Gap"))</x:f>
        <x:v>Close Alignment</x:v>
      </x:c>
    </x:row>
    <x:row r="20" ht="23" customHeight="1">
      <x:c r="A20" s="19" t="str">
        <x:v>case_04|progression</x:v>
      </x:c>
      <x:c r="B20" s="17" t="str">
        <x:v>case_04</x:v>
      </x:c>
      <x:c r="C20" s="17" t="str">
        <x:v>Keita Baldé</x:v>
      </x:c>
      <x:c r="D20" s="17" t="str">
        <x:v>Cagliari Calcio</x:v>
      </x:c>
      <x:c r="E20" s="17" t="str">
        <x:v>progression</x:v>
      </x:c>
      <x:c r="F20" s="17" t="str">
        <x:v>Progression</x:v>
      </x:c>
      <x:c r="G20" s="39" t="n">
        <x:v>0.1319567080142872</x:v>
      </x:c>
      <x:c r="H20" s="39" t="n">
        <x:v>-0.1427183767362236</x:v>
      </x:c>
      <x:c r="I20" s="39" t="n">
        <x:f>G20-H20</x:f>
        <x:v>0.2746750847505108</x:v>
      </x:c>
      <x:c r="J20" s="39" t="n">
        <x:f>ABS(I20)</x:f>
        <x:v>0.2746750847505108</x:v>
      </x:c>
      <x:c r="K20" s="17" t="str">
        <x:f>IF(J20&lt;=0.35,"Close Alignment",IF(J20&lt;=0.85,"Moderate Gap","Large Gap"))</x:f>
        <x:v>Close Alignment</x:v>
      </x:c>
    </x:row>
    <x:row r="21" ht="23" customHeight="1">
      <x:c r="A21" s="20" t="str">
        <x:v>case_04|scoring_threat</x:v>
      </x:c>
      <x:c r="B21" s="15" t="str">
        <x:v>case_04</x:v>
      </x:c>
      <x:c r="C21" s="15" t="str">
        <x:v>Keita Baldé</x:v>
      </x:c>
      <x:c r="D21" s="15" t="str">
        <x:v>Cagliari Calcio</x:v>
      </x:c>
      <x:c r="E21" s="15" t="str">
        <x:v>scoring_threat</x:v>
      </x:c>
      <x:c r="F21" s="15" t="str">
        <x:v>Scoring threat</x:v>
      </x:c>
      <x:c r="G21" s="40" t="n">
        <x:v>0.9140838659786914</x:v>
      </x:c>
      <x:c r="H21" s="40" t="n">
        <x:v>-0.1091170965051355</x:v>
      </x:c>
      <x:c r="I21" s="40" t="n">
        <x:f>G21-H21</x:f>
        <x:v>1.023200962483827</x:v>
      </x:c>
      <x:c r="J21" s="40" t="n">
        <x:f>ABS(I21)</x:f>
        <x:v>1.023200962483827</x:v>
      </x:c>
      <x:c r="K21" s="15" t="str">
        <x:f>IF(J21&lt;=0.35,"Close Alignment",IF(J21&lt;=0.85,"Moderate Gap","Large Gap"))</x:f>
        <x:v>Large Gap</x:v>
      </x:c>
    </x:row>
    <x:row r="22" ht="23" customHeight="1">
      <x:c r="A22" s="19" t="str">
        <x:v>case_10|aerial_physicality</x:v>
      </x:c>
      <x:c r="B22" s="17" t="str">
        <x:v>case_10</x:v>
      </x:c>
      <x:c r="C22" s="17" t="str">
        <x:v>Lucas Perrin</x:v>
      </x:c>
      <x:c r="D22" s="17" t="str">
        <x:v>RC Strasbourg Alsace</x:v>
      </x:c>
      <x:c r="E22" s="17" t="str">
        <x:v>aerial_physicality</x:v>
      </x:c>
      <x:c r="F22" s="17" t="str">
        <x:v>Aerial physicality</x:v>
      </x:c>
      <x:c r="G22" s="39" t="n">
        <x:v>0.6600881949681388</x:v>
      </x:c>
      <x:c r="H22" s="39" t="n">
        <x:v>0.1620104220005977</x:v>
      </x:c>
      <x:c r="I22" s="39" t="n">
        <x:f>G22-H22</x:f>
        <x:v>0.4980777729675411</x:v>
      </x:c>
      <x:c r="J22" s="39" t="n">
        <x:f>ABS(I22)</x:f>
        <x:v>0.4980777729675411</x:v>
      </x:c>
      <x:c r="K22" s="17" t="str">
        <x:f>IF(J22&lt;=0.35,"Close Alignment",IF(J22&lt;=0.85,"Moderate Gap","Large Gap"))</x:f>
        <x:v>Moderate Gap</x:v>
      </x:c>
    </x:row>
    <x:row r="23" ht="23" customHeight="1">
      <x:c r="A23" s="20" t="str">
        <x:v>case_10|creation</x:v>
      </x:c>
      <x:c r="B23" s="15" t="str">
        <x:v>case_10</x:v>
      </x:c>
      <x:c r="C23" s="15" t="str">
        <x:v>Lucas Perrin</x:v>
      </x:c>
      <x:c r="D23" s="15" t="str">
        <x:v>RC Strasbourg Alsace</x:v>
      </x:c>
      <x:c r="E23" s="15" t="str">
        <x:v>creation</x:v>
      </x:c>
      <x:c r="F23" s="15" t="str">
        <x:v>Creation</x:v>
      </x:c>
      <x:c r="G23" s="40" t="n">
        <x:v>-0.5332153954697334</x:v>
      </x:c>
      <x:c r="H23" s="40" t="n">
        <x:v>-0.0931698780537586</x:v>
      </x:c>
      <x:c r="I23" s="40" t="n">
        <x:f>G23-H23</x:f>
        <x:v>-0.4400455174159748</x:v>
      </x:c>
      <x:c r="J23" s="40" t="n">
        <x:f>ABS(I23)</x:f>
        <x:v>0.4400455174159748</x:v>
      </x:c>
      <x:c r="K23" s="15" t="str">
        <x:f>IF(J23&lt;=0.35,"Close Alignment",IF(J23&lt;=0.85,"Moderate Gap","Large Gap"))</x:f>
        <x:v>Moderate Gap</x:v>
      </x:c>
    </x:row>
    <x:row r="24" ht="23" customHeight="1">
      <x:c r="A24" s="19" t="str">
        <x:v>case_10|defensive_intensity</x:v>
      </x:c>
      <x:c r="B24" s="17" t="str">
        <x:v>case_10</x:v>
      </x:c>
      <x:c r="C24" s="17" t="str">
        <x:v>Lucas Perrin</x:v>
      </x:c>
      <x:c r="D24" s="17" t="str">
        <x:v>RC Strasbourg Alsace</x:v>
      </x:c>
      <x:c r="E24" s="17" t="str">
        <x:v>defensive_intensity</x:v>
      </x:c>
      <x:c r="F24" s="17" t="str">
        <x:v>Defensive intensity</x:v>
      </x:c>
      <x:c r="G24" s="39" t="n">
        <x:v>0.2306059454293866</x:v>
      </x:c>
      <x:c r="H24" s="39" t="n">
        <x:v>0.0218498003961879</x:v>
      </x:c>
      <x:c r="I24" s="39" t="n">
        <x:f>G24-H24</x:f>
        <x:v>0.2087561450331987</x:v>
      </x:c>
      <x:c r="J24" s="39" t="n">
        <x:f>ABS(I24)</x:f>
        <x:v>0.2087561450331987</x:v>
      </x:c>
      <x:c r="K24" s="17" t="str">
        <x:f>IF(J24&lt;=0.35,"Close Alignment",IF(J24&lt;=0.85,"Moderate Gap","Large Gap"))</x:f>
        <x:v>Close Alignment</x:v>
      </x:c>
    </x:row>
    <x:row r="25" ht="23" customHeight="1">
      <x:c r="A25" s="20" t="str">
        <x:v>case_10|directness</x:v>
      </x:c>
      <x:c r="B25" s="15" t="str">
        <x:v>case_10</x:v>
      </x:c>
      <x:c r="C25" s="15" t="str">
        <x:v>Lucas Perrin</x:v>
      </x:c>
      <x:c r="D25" s="15" t="str">
        <x:v>RC Strasbourg Alsace</x:v>
      </x:c>
      <x:c r="E25" s="15" t="str">
        <x:v>directness</x:v>
      </x:c>
      <x:c r="F25" s="15" t="str">
        <x:v>Directness</x:v>
      </x:c>
      <x:c r="G25" s="40" t="n">
        <x:v>0.3876352734709047</x:v>
      </x:c>
      <x:c r="H25" s="40" t="n">
        <x:v>-0.0582723437542588</x:v>
      </x:c>
      <x:c r="I25" s="40" t="n">
        <x:f>G25-H25</x:f>
        <x:v>0.4459076172251635</x:v>
      </x:c>
      <x:c r="J25" s="40" t="n">
        <x:f>ABS(I25)</x:f>
        <x:v>0.4459076172251635</x:v>
      </x:c>
      <x:c r="K25" s="15" t="str">
        <x:f>IF(J25&lt;=0.35,"Close Alignment",IF(J25&lt;=0.85,"Moderate Gap","Large Gap"))</x:f>
        <x:v>Moderate Gap</x:v>
      </x:c>
    </x:row>
    <x:row r="26" ht="23" customHeight="1">
      <x:c r="A26" s="19" t="str">
        <x:v>case_10|dribble_aggression</x:v>
      </x:c>
      <x:c r="B26" s="17" t="str">
        <x:v>case_10</x:v>
      </x:c>
      <x:c r="C26" s="17" t="str">
        <x:v>Lucas Perrin</x:v>
      </x:c>
      <x:c r="D26" s="17" t="str">
        <x:v>RC Strasbourg Alsace</x:v>
      </x:c>
      <x:c r="E26" s="17" t="str">
        <x:v>dribble_aggression</x:v>
      </x:c>
      <x:c r="F26" s="17" t="str">
        <x:v>Dribble aggression</x:v>
      </x:c>
      <x:c r="G26" s="39" t="n">
        <x:v>-0.0279111118170285</x:v>
      </x:c>
      <x:c r="H26" s="39" t="n">
        <x:v>-0.1751685450751042</x:v>
      </x:c>
      <x:c r="I26" s="39" t="n">
        <x:f>G26-H26</x:f>
        <x:v>0.14725743325807572</x:v>
      </x:c>
      <x:c r="J26" s="39" t="n">
        <x:f>ABS(I26)</x:f>
        <x:v>0.14725743325807572</x:v>
      </x:c>
      <x:c r="K26" s="17" t="str">
        <x:f>IF(J26&lt;=0.35,"Close Alignment",IF(J26&lt;=0.85,"Moderate Gap","Large Gap"))</x:f>
        <x:v>Close Alignment</x:v>
      </x:c>
    </x:row>
    <x:row r="27" ht="23" customHeight="1">
      <x:c r="A27" s="20" t="str">
        <x:v>case_10|passing_control</x:v>
      </x:c>
      <x:c r="B27" s="15" t="str">
        <x:v>case_10</x:v>
      </x:c>
      <x:c r="C27" s="15" t="str">
        <x:v>Lucas Perrin</x:v>
      </x:c>
      <x:c r="D27" s="15" t="str">
        <x:v>RC Strasbourg Alsace</x:v>
      </x:c>
      <x:c r="E27" s="15" t="str">
        <x:v>passing_control</x:v>
      </x:c>
      <x:c r="F27" s="15" t="str">
        <x:v>Passing control</x:v>
      </x:c>
      <x:c r="G27" s="40" t="n">
        <x:v>0.7530027487435149</x:v>
      </x:c>
      <x:c r="H27" s="40" t="n">
        <x:v>-0.1277278444091283</x:v>
      </x:c>
      <x:c r="I27" s="40" t="n">
        <x:f>G27-H27</x:f>
        <x:v>0.8807305931526432</x:v>
      </x:c>
      <x:c r="J27" s="40" t="n">
        <x:f>ABS(I27)</x:f>
        <x:v>0.8807305931526432</x:v>
      </x:c>
      <x:c r="K27" s="15" t="str">
        <x:f>IF(J27&lt;=0.35,"Close Alignment",IF(J27&lt;=0.85,"Moderate Gap","Large Gap"))</x:f>
        <x:v>Large Gap</x:v>
      </x:c>
    </x:row>
    <x:row r="28" ht="23" customHeight="1">
      <x:c r="A28" s="19" t="str">
        <x:v>case_10|progression</x:v>
      </x:c>
      <x:c r="B28" s="17" t="str">
        <x:v>case_10</x:v>
      </x:c>
      <x:c r="C28" s="17" t="str">
        <x:v>Lucas Perrin</x:v>
      </x:c>
      <x:c r="D28" s="17" t="str">
        <x:v>RC Strasbourg Alsace</x:v>
      </x:c>
      <x:c r="E28" s="17" t="str">
        <x:v>progression</x:v>
      </x:c>
      <x:c r="F28" s="17" t="str">
        <x:v>Progression</x:v>
      </x:c>
      <x:c r="G28" s="39" t="n">
        <x:v>-0.6689338888946185</x:v>
      </x:c>
      <x:c r="H28" s="39" t="n">
        <x:v>-0.156074453623951</x:v>
      </x:c>
      <x:c r="I28" s="39" t="n">
        <x:f>G28-H28</x:f>
        <x:v>-0.5128594352706675</x:v>
      </x:c>
      <x:c r="J28" s="39" t="n">
        <x:f>ABS(I28)</x:f>
        <x:v>0.5128594352706675</x:v>
      </x:c>
      <x:c r="K28" s="17" t="str">
        <x:f>IF(J28&lt;=0.35,"Close Alignment",IF(J28&lt;=0.85,"Moderate Gap","Large Gap"))</x:f>
        <x:v>Moderate Gap</x:v>
      </x:c>
    </x:row>
    <x:row r="29" ht="23" customHeight="1">
      <x:c r="A29" s="20" t="str">
        <x:v>case_10|scoring_threat</x:v>
      </x:c>
      <x:c r="B29" s="15" t="str">
        <x:v>case_10</x:v>
      </x:c>
      <x:c r="C29" s="15" t="str">
        <x:v>Lucas Perrin</x:v>
      </x:c>
      <x:c r="D29" s="15" t="str">
        <x:v>RC Strasbourg Alsace</x:v>
      </x:c>
      <x:c r="E29" s="15" t="str">
        <x:v>scoring_threat</x:v>
      </x:c>
      <x:c r="F29" s="15" t="str">
        <x:v>Scoring threat</x:v>
      </x:c>
      <x:c r="G29" s="40" t="n">
        <x:v>0.9735833772922516</x:v>
      </x:c>
      <x:c r="H29" s="40" t="n">
        <x:v>0.0042127003894633</x:v>
      </x:c>
      <x:c r="I29" s="40" t="n">
        <x:f>G29-H29</x:f>
        <x:v>0.9693706769027883</x:v>
      </x:c>
      <x:c r="J29" s="40" t="n">
        <x:f>ABS(I29)</x:f>
        <x:v>0.9693706769027883</x:v>
      </x:c>
      <x:c r="K29" s="15" t="str">
        <x:f>IF(J29&lt;=0.35,"Close Alignment",IF(J29&lt;=0.85,"Moderate Gap","Large Gap"))</x:f>
        <x:v>Large Gap</x:v>
      </x:c>
    </x:row>
    <x:row r="30" ht="23" customHeight="1">
      <x:c r="A30" s="19" t="str">
        <x:v>case_11|aerial_physicality</x:v>
      </x:c>
      <x:c r="B30" s="17" t="str">
        <x:v>case_11</x:v>
      </x:c>
      <x:c r="C30" s="17" t="str">
        <x:v>Gaëtan Laborde</x:v>
      </x:c>
      <x:c r="D30" s="17" t="str">
        <x:v>OGC Nice</x:v>
      </x:c>
      <x:c r="E30" s="17" t="str">
        <x:v>aerial_physicality</x:v>
      </x:c>
      <x:c r="F30" s="17" t="str">
        <x:v>Aerial physicality</x:v>
      </x:c>
      <x:c r="G30" s="39" t="n">
        <x:v>0.514692165990033</x:v>
      </x:c>
      <x:c r="H30" s="39" t="n">
        <x:v>0.1393557895364999</x:v>
      </x:c>
      <x:c r="I30" s="39" t="n">
        <x:f>G30-H30</x:f>
        <x:v>0.37533637645353307</x:v>
      </x:c>
      <x:c r="J30" s="39" t="n">
        <x:f>ABS(I30)</x:f>
        <x:v>0.37533637645353307</x:v>
      </x:c>
      <x:c r="K30" s="17" t="str">
        <x:f>IF(J30&lt;=0.35,"Close Alignment",IF(J30&lt;=0.85,"Moderate Gap","Large Gap"))</x:f>
        <x:v>Moderate Gap</x:v>
      </x:c>
    </x:row>
    <x:row r="31" ht="23" customHeight="1">
      <x:c r="A31" s="20" t="str">
        <x:v>case_11|creation</x:v>
      </x:c>
      <x:c r="B31" s="15" t="str">
        <x:v>case_11</x:v>
      </x:c>
      <x:c r="C31" s="15" t="str">
        <x:v>Gaëtan Laborde</x:v>
      </x:c>
      <x:c r="D31" s="15" t="str">
        <x:v>OGC Nice</x:v>
      </x:c>
      <x:c r="E31" s="15" t="str">
        <x:v>creation</x:v>
      </x:c>
      <x:c r="F31" s="15" t="str">
        <x:v>Creation</x:v>
      </x:c>
      <x:c r="G31" s="40" t="n">
        <x:v>0.0411828612237731</x:v>
      </x:c>
      <x:c r="H31" s="40" t="n">
        <x:v>-0.0309920062432289</x:v>
      </x:c>
      <x:c r="I31" s="40" t="n">
        <x:f>G31-H31</x:f>
        <x:v>0.072174867467002</x:v>
      </x:c>
      <x:c r="J31" s="40" t="n">
        <x:f>ABS(I31)</x:f>
        <x:v>0.072174867467002</x:v>
      </x:c>
      <x:c r="K31" s="15" t="str">
        <x:f>IF(J31&lt;=0.35,"Close Alignment",IF(J31&lt;=0.85,"Moderate Gap","Large Gap"))</x:f>
        <x:v>Close Alignment</x:v>
      </x:c>
    </x:row>
    <x:row r="32" ht="23" customHeight="1">
      <x:c r="A32" s="19" t="str">
        <x:v>case_11|defensive_intensity</x:v>
      </x:c>
      <x:c r="B32" s="17" t="str">
        <x:v>case_11</x:v>
      </x:c>
      <x:c r="C32" s="17" t="str">
        <x:v>Gaëtan Laborde</x:v>
      </x:c>
      <x:c r="D32" s="17" t="str">
        <x:v>OGC Nice</x:v>
      </x:c>
      <x:c r="E32" s="17" t="str">
        <x:v>defensive_intensity</x:v>
      </x:c>
      <x:c r="F32" s="17" t="str">
        <x:v>Defensive intensity</x:v>
      </x:c>
      <x:c r="G32" s="39" t="n">
        <x:v>-0.0956160079452547</x:v>
      </x:c>
      <x:c r="H32" s="39" t="n">
        <x:v>0.0002258427920566</x:v>
      </x:c>
      <x:c r="I32" s="39" t="n">
        <x:f>G32-H32</x:f>
        <x:v>-0.0958418507373113</x:v>
      </x:c>
      <x:c r="J32" s="39" t="n">
        <x:f>ABS(I32)</x:f>
        <x:v>0.0958418507373113</x:v>
      </x:c>
      <x:c r="K32" s="17" t="str">
        <x:f>IF(J32&lt;=0.35,"Close Alignment",IF(J32&lt;=0.85,"Moderate Gap","Large Gap"))</x:f>
        <x:v>Close Alignment</x:v>
      </x:c>
    </x:row>
    <x:row r="33" ht="23" customHeight="1">
      <x:c r="A33" s="20" t="str">
        <x:v>case_11|directness</x:v>
      </x:c>
      <x:c r="B33" s="15" t="str">
        <x:v>case_11</x:v>
      </x:c>
      <x:c r="C33" s="15" t="str">
        <x:v>Gaëtan Laborde</x:v>
      </x:c>
      <x:c r="D33" s="15" t="str">
        <x:v>OGC Nice</x:v>
      </x:c>
      <x:c r="E33" s="15" t="str">
        <x:v>directness</x:v>
      </x:c>
      <x:c r="F33" s="15" t="str">
        <x:v>Directness</x:v>
      </x:c>
      <x:c r="G33" s="40" t="n">
        <x:v>-0.1139260584043726</x:v>
      </x:c>
      <x:c r="H33" s="40" t="n">
        <x:v>0.0915815854418403</x:v>
      </x:c>
      <x:c r="I33" s="40" t="n">
        <x:f>G33-H33</x:f>
        <x:v>-0.2055076438462129</x:v>
      </x:c>
      <x:c r="J33" s="40" t="n">
        <x:f>ABS(I33)</x:f>
        <x:v>0.2055076438462129</x:v>
      </x:c>
      <x:c r="K33" s="15" t="str">
        <x:f>IF(J33&lt;=0.35,"Close Alignment",IF(J33&lt;=0.85,"Moderate Gap","Large Gap"))</x:f>
        <x:v>Close Alignment</x:v>
      </x:c>
    </x:row>
    <x:row r="34" ht="23" customHeight="1">
      <x:c r="A34" s="19" t="str">
        <x:v>case_11|dribble_aggression</x:v>
      </x:c>
      <x:c r="B34" s="17" t="str">
        <x:v>case_11</x:v>
      </x:c>
      <x:c r="C34" s="17" t="str">
        <x:v>Gaëtan Laborde</x:v>
      </x:c>
      <x:c r="D34" s="17" t="str">
        <x:v>OGC Nice</x:v>
      </x:c>
      <x:c r="E34" s="17" t="str">
        <x:v>dribble_aggression</x:v>
      </x:c>
      <x:c r="F34" s="17" t="str">
        <x:v>Dribble aggression</x:v>
      </x:c>
      <x:c r="G34" s="39" t="n">
        <x:v>-0.0967169383830286</x:v>
      </x:c>
      <x:c r="H34" s="39" t="n">
        <x:v>0.0040871999831257</x:v>
      </x:c>
      <x:c r="I34" s="39" t="n">
        <x:f>G34-H34</x:f>
        <x:v>-0.1008041383661543</x:v>
      </x:c>
      <x:c r="J34" s="39" t="n">
        <x:f>ABS(I34)</x:f>
        <x:v>0.1008041383661543</x:v>
      </x:c>
      <x:c r="K34" s="17" t="str">
        <x:f>IF(J34&lt;=0.35,"Close Alignment",IF(J34&lt;=0.85,"Moderate Gap","Large Gap"))</x:f>
        <x:v>Close Alignment</x:v>
      </x:c>
    </x:row>
    <x:row r="35" ht="23" customHeight="1">
      <x:c r="A35" s="20" t="str">
        <x:v>case_11|passing_control</x:v>
      </x:c>
      <x:c r="B35" s="15" t="str">
        <x:v>case_11</x:v>
      </x:c>
      <x:c r="C35" s="15" t="str">
        <x:v>Gaëtan Laborde</x:v>
      </x:c>
      <x:c r="D35" s="15" t="str">
        <x:v>OGC Nice</x:v>
      </x:c>
      <x:c r="E35" s="15" t="str">
        <x:v>passing_control</x:v>
      </x:c>
      <x:c r="F35" s="15" t="str">
        <x:v>Passing control</x:v>
      </x:c>
      <x:c r="G35" s="40" t="n">
        <x:v>-0.1859621085616486</x:v>
      </x:c>
      <x:c r="H35" s="40" t="n">
        <x:v>0.1600705181941036</x:v>
      </x:c>
      <x:c r="I35" s="40" t="n">
        <x:f>G35-H35</x:f>
        <x:v>-0.3460326267557522</x:v>
      </x:c>
      <x:c r="J35" s="40" t="n">
        <x:f>ABS(I35)</x:f>
        <x:v>0.3460326267557522</x:v>
      </x:c>
      <x:c r="K35" s="15" t="str">
        <x:f>IF(J35&lt;=0.35,"Close Alignment",IF(J35&lt;=0.85,"Moderate Gap","Large Gap"))</x:f>
        <x:v>Close Alignment</x:v>
      </x:c>
    </x:row>
    <x:row r="36" ht="23" customHeight="1">
      <x:c r="A36" s="19" t="str">
        <x:v>case_11|progression</x:v>
      </x:c>
      <x:c r="B36" s="17" t="str">
        <x:v>case_11</x:v>
      </x:c>
      <x:c r="C36" s="17" t="str">
        <x:v>Gaëtan Laborde</x:v>
      </x:c>
      <x:c r="D36" s="17" t="str">
        <x:v>OGC Nice</x:v>
      </x:c>
      <x:c r="E36" s="17" t="str">
        <x:v>progression</x:v>
      </x:c>
      <x:c r="F36" s="17" t="str">
        <x:v>Progression</x:v>
      </x:c>
      <x:c r="G36" s="39" t="n">
        <x:v>-0.1601194308203008</x:v>
      </x:c>
      <x:c r="H36" s="39" t="n">
        <x:v>0.1295929188072436</x:v>
      </x:c>
      <x:c r="I36" s="39" t="n">
        <x:f>G36-H36</x:f>
        <x:v>-0.28971234962754444</x:v>
      </x:c>
      <x:c r="J36" s="39" t="n">
        <x:f>ABS(I36)</x:f>
        <x:v>0.28971234962754444</x:v>
      </x:c>
      <x:c r="K36" s="17" t="str">
        <x:f>IF(J36&lt;=0.35,"Close Alignment",IF(J36&lt;=0.85,"Moderate Gap","Large Gap"))</x:f>
        <x:v>Close Alignment</x:v>
      </x:c>
    </x:row>
    <x:row r="37" ht="23" customHeight="1">
      <x:c r="A37" s="20" t="str">
        <x:v>case_11|scoring_threat</x:v>
      </x:c>
      <x:c r="B37" s="15" t="str">
        <x:v>case_11</x:v>
      </x:c>
      <x:c r="C37" s="15" t="str">
        <x:v>Gaëtan Laborde</x:v>
      </x:c>
      <x:c r="D37" s="15" t="str">
        <x:v>OGC Nice</x:v>
      </x:c>
      <x:c r="E37" s="15" t="str">
        <x:v>scoring_threat</x:v>
      </x:c>
      <x:c r="F37" s="15" t="str">
        <x:v>Scoring threat</x:v>
      </x:c>
      <x:c r="G37" s="40" t="n">
        <x:v>0.3513052512741839</x:v>
      </x:c>
      <x:c r="H37" s="40" t="n">
        <x:v>-0.006485845573388</x:v>
      </x:c>
      <x:c r="I37" s="40" t="n">
        <x:f>G37-H37</x:f>
        <x:v>0.3577910968475719</x:v>
      </x:c>
      <x:c r="J37" s="40" t="n">
        <x:f>ABS(I37)</x:f>
        <x:v>0.3577910968475719</x:v>
      </x:c>
      <x:c r="K37" s="15" t="str">
        <x:f>IF(J37&lt;=0.35,"Close Alignment",IF(J37&lt;=0.85,"Moderate Gap","Large Gap"))</x:f>
        <x:v>Moderate Gap</x:v>
      </x:c>
    </x:row>
    <x:row r="38" ht="23" customHeight="1">
      <x:c r="A38" s="19" t="str">
        <x:v>case_05|aerial_physicality</x:v>
      </x:c>
      <x:c r="B38" s="17" t="str">
        <x:v>case_05</x:v>
      </x:c>
      <x:c r="C38" s="17" t="str">
        <x:v>Philippe Coutinho</x:v>
      </x:c>
      <x:c r="D38" s="17" t="str">
        <x:v>Aston Villa</x:v>
      </x:c>
      <x:c r="E38" s="17" t="str">
        <x:v>aerial_physicality</x:v>
      </x:c>
      <x:c r="F38" s="17" t="str">
        <x:v>Aerial physicality</x:v>
      </x:c>
      <x:c r="G38" s="39" t="n">
        <x:v>-0.8472223216043049</x:v>
      </x:c>
      <x:c r="H38" s="39" t="n">
        <x:v>0.1027790584743624</x:v>
      </x:c>
      <x:c r="I38" s="39" t="n">
        <x:f>G38-H38</x:f>
        <x:v>-0.9500013800786673</x:v>
      </x:c>
      <x:c r="J38" s="39" t="n">
        <x:f>ABS(I38)</x:f>
        <x:v>0.9500013800786673</x:v>
      </x:c>
      <x:c r="K38" s="17" t="str">
        <x:f>IF(J38&lt;=0.35,"Close Alignment",IF(J38&lt;=0.85,"Moderate Gap","Large Gap"))</x:f>
        <x:v>Large Gap</x:v>
      </x:c>
    </x:row>
    <x:row r="39" ht="23" customHeight="1">
      <x:c r="A39" s="20" t="str">
        <x:v>case_05|creation</x:v>
      </x:c>
      <x:c r="B39" s="15" t="str">
        <x:v>case_05</x:v>
      </x:c>
      <x:c r="C39" s="15" t="str">
        <x:v>Philippe Coutinho</x:v>
      </x:c>
      <x:c r="D39" s="15" t="str">
        <x:v>Aston Villa</x:v>
      </x:c>
      <x:c r="E39" s="15" t="str">
        <x:v>creation</x:v>
      </x:c>
      <x:c r="F39" s="15" t="str">
        <x:v>Creation</x:v>
      </x:c>
      <x:c r="G39" s="40" t="n">
        <x:v>0.944874842336076</x:v>
      </x:c>
      <x:c r="H39" s="40" t="n">
        <x:v>0.0443204036828281</x:v>
      </x:c>
      <x:c r="I39" s="40" t="n">
        <x:f>G39-H39</x:f>
        <x:v>0.9005544386532479</x:v>
      </x:c>
      <x:c r="J39" s="40" t="n">
        <x:f>ABS(I39)</x:f>
        <x:v>0.9005544386532479</x:v>
      </x:c>
      <x:c r="K39" s="15" t="str">
        <x:f>IF(J39&lt;=0.35,"Close Alignment",IF(J39&lt;=0.85,"Moderate Gap","Large Gap"))</x:f>
        <x:v>Large Gap</x:v>
      </x:c>
    </x:row>
    <x:row r="40" ht="23" customHeight="1">
      <x:c r="A40" s="19" t="str">
        <x:v>case_05|defensive_intensity</x:v>
      </x:c>
      <x:c r="B40" s="17" t="str">
        <x:v>case_05</x:v>
      </x:c>
      <x:c r="C40" s="17" t="str">
        <x:v>Philippe Coutinho</x:v>
      </x:c>
      <x:c r="D40" s="17" t="str">
        <x:v>Aston Villa</x:v>
      </x:c>
      <x:c r="E40" s="17" t="str">
        <x:v>defensive_intensity</x:v>
      </x:c>
      <x:c r="F40" s="17" t="str">
        <x:v>Defensive intensity</x:v>
      </x:c>
      <x:c r="G40" s="39" t="n">
        <x:v>-0.5225764507922175</x:v>
      </x:c>
      <x:c r="H40" s="39" t="n">
        <x:v>-0.0041581200108082</x:v>
      </x:c>
      <x:c r="I40" s="39" t="n">
        <x:f>G40-H40</x:f>
        <x:v>-0.5184183307814093</x:v>
      </x:c>
      <x:c r="J40" s="39" t="n">
        <x:f>ABS(I40)</x:f>
        <x:v>0.5184183307814093</x:v>
      </x:c>
      <x:c r="K40" s="17" t="str">
        <x:f>IF(J40&lt;=0.35,"Close Alignment",IF(J40&lt;=0.85,"Moderate Gap","Large Gap"))</x:f>
        <x:v>Moderate Gap</x:v>
      </x:c>
    </x:row>
    <x:row r="41" ht="23" customHeight="1">
      <x:c r="A41" s="20" t="str">
        <x:v>case_05|directness</x:v>
      </x:c>
      <x:c r="B41" s="15" t="str">
        <x:v>case_05</x:v>
      </x:c>
      <x:c r="C41" s="15" t="str">
        <x:v>Philippe Coutinho</x:v>
      </x:c>
      <x:c r="D41" s="15" t="str">
        <x:v>Aston Villa</x:v>
      </x:c>
      <x:c r="E41" s="15" t="str">
        <x:v>directness</x:v>
      </x:c>
      <x:c r="F41" s="15" t="str">
        <x:v>Directness</x:v>
      </x:c>
      <x:c r="G41" s="40" t="n">
        <x:v>0.7960410736740248</x:v>
      </x:c>
      <x:c r="H41" s="40" t="n">
        <x:v>-0.0833198713815836</x:v>
      </x:c>
      <x:c r="I41" s="40" t="n">
        <x:f>G41-H41</x:f>
        <x:v>0.8793609450556084</x:v>
      </x:c>
      <x:c r="J41" s="40" t="n">
        <x:f>ABS(I41)</x:f>
        <x:v>0.8793609450556084</x:v>
      </x:c>
      <x:c r="K41" s="15" t="str">
        <x:f>IF(J41&lt;=0.35,"Close Alignment",IF(J41&lt;=0.85,"Moderate Gap","Large Gap"))</x:f>
        <x:v>Large Gap</x:v>
      </x:c>
    </x:row>
    <x:row r="42" ht="23" customHeight="1">
      <x:c r="A42" s="19" t="str">
        <x:v>case_05|dribble_aggression</x:v>
      </x:c>
      <x:c r="B42" s="17" t="str">
        <x:v>case_05</x:v>
      </x:c>
      <x:c r="C42" s="17" t="str">
        <x:v>Philippe Coutinho</x:v>
      </x:c>
      <x:c r="D42" s="17" t="str">
        <x:v>Aston Villa</x:v>
      </x:c>
      <x:c r="E42" s="17" t="str">
        <x:v>dribble_aggression</x:v>
      </x:c>
      <x:c r="F42" s="17" t="str">
        <x:v>Dribble aggression</x:v>
      </x:c>
      <x:c r="G42" s="39" t="n">
        <x:v>1.175575651428969</x:v>
      </x:c>
      <x:c r="H42" s="39" t="n">
        <x:v>-0.0207852042848958</x:v>
      </x:c>
      <x:c r="I42" s="39" t="n">
        <x:f>G42-H42</x:f>
        <x:v>1.1963608557138647</x:v>
      </x:c>
      <x:c r="J42" s="39" t="n">
        <x:f>ABS(I42)</x:f>
        <x:v>1.1963608557138647</x:v>
      </x:c>
      <x:c r="K42" s="17" t="str">
        <x:f>IF(J42&lt;=0.35,"Close Alignment",IF(J42&lt;=0.85,"Moderate Gap","Large Gap"))</x:f>
        <x:v>Large Gap</x:v>
      </x:c>
    </x:row>
    <x:row r="43" ht="23" customHeight="1">
      <x:c r="A43" s="20" t="str">
        <x:v>case_05|passing_control</x:v>
      </x:c>
      <x:c r="B43" s="15" t="str">
        <x:v>case_05</x:v>
      </x:c>
      <x:c r="C43" s="15" t="str">
        <x:v>Philippe Coutinho</x:v>
      </x:c>
      <x:c r="D43" s="15" t="str">
        <x:v>Aston Villa</x:v>
      </x:c>
      <x:c r="E43" s="15" t="str">
        <x:v>passing_control</x:v>
      </x:c>
      <x:c r="F43" s="15" t="str">
        <x:v>Passing control</x:v>
      </x:c>
      <x:c r="G43" s="40" t="n">
        <x:v>0.1873022261910513</x:v>
      </x:c>
      <x:c r="H43" s="40" t="n">
        <x:v>-0.117910513296269</x:v>
      </x:c>
      <x:c r="I43" s="40" t="n">
        <x:f>G43-H43</x:f>
        <x:v>0.3052127394873203</x:v>
      </x:c>
      <x:c r="J43" s="40" t="n">
        <x:f>ABS(I43)</x:f>
        <x:v>0.3052127394873203</x:v>
      </x:c>
      <x:c r="K43" s="15" t="str">
        <x:f>IF(J43&lt;=0.35,"Close Alignment",IF(J43&lt;=0.85,"Moderate Gap","Large Gap"))</x:f>
        <x:v>Close Alignment</x:v>
      </x:c>
    </x:row>
    <x:row r="44" ht="23" customHeight="1">
      <x:c r="A44" s="19" t="str">
        <x:v>case_05|progression</x:v>
      </x:c>
      <x:c r="B44" s="17" t="str">
        <x:v>case_05</x:v>
      </x:c>
      <x:c r="C44" s="17" t="str">
        <x:v>Philippe Coutinho</x:v>
      </x:c>
      <x:c r="D44" s="17" t="str">
        <x:v>Aston Villa</x:v>
      </x:c>
      <x:c r="E44" s="17" t="str">
        <x:v>progression</x:v>
      </x:c>
      <x:c r="F44" s="17" t="str">
        <x:v>Progression</x:v>
      </x:c>
      <x:c r="G44" s="39" t="n">
        <x:v>1.1810774984857035</x:v>
      </x:c>
      <x:c r="H44" s="39" t="n">
        <x:v>-0.129772470335722</x:v>
      </x:c>
      <x:c r="I44" s="39" t="n">
        <x:f>G44-H44</x:f>
        <x:v>1.3108499688214255</x:v>
      </x:c>
      <x:c r="J44" s="39" t="n">
        <x:f>ABS(I44)</x:f>
        <x:v>1.3108499688214255</x:v>
      </x:c>
      <x:c r="K44" s="17" t="str">
        <x:f>IF(J44&lt;=0.35,"Close Alignment",IF(J44&lt;=0.85,"Moderate Gap","Large Gap"))</x:f>
        <x:v>Large Gap</x:v>
      </x:c>
    </x:row>
    <x:row r="45" ht="23" customHeight="1">
      <x:c r="A45" s="20" t="str">
        <x:v>case_05|scoring_threat</x:v>
      </x:c>
      <x:c r="B45" s="15" t="str">
        <x:v>case_05</x:v>
      </x:c>
      <x:c r="C45" s="15" t="str">
        <x:v>Philippe Coutinho</x:v>
      </x:c>
      <x:c r="D45" s="15" t="str">
        <x:v>Aston Villa</x:v>
      </x:c>
      <x:c r="E45" s="15" t="str">
        <x:v>scoring_threat</x:v>
      </x:c>
      <x:c r="F45" s="15" t="str">
        <x:v>Scoring threat</x:v>
      </x:c>
      <x:c r="G45" s="40" t="n">
        <x:v>1.687258838970416</x:v>
      </x:c>
      <x:c r="H45" s="40" t="n">
        <x:v>0.0529071552699143</x:v>
      </x:c>
      <x:c r="I45" s="40" t="n">
        <x:f>G45-H45</x:f>
        <x:v>1.6343516837005017</x:v>
      </x:c>
      <x:c r="J45" s="40" t="n">
        <x:f>ABS(I45)</x:f>
        <x:v>1.6343516837005017</x:v>
      </x:c>
      <x:c r="K45" s="15" t="str">
        <x:f>IF(J45&lt;=0.35,"Close Alignment",IF(J45&lt;=0.85,"Moderate Gap","Large Gap"))</x:f>
        <x:v>Large Gap</x:v>
      </x:c>
    </x:row>
    <x:row r="46" ht="23" customHeight="1">
      <x:c r="A46" s="19" t="str">
        <x:v>case_09|aerial_physicality</x:v>
      </x:c>
      <x:c r="B46" s="17" t="str">
        <x:v>case_09</x:v>
      </x:c>
      <x:c r="C46" s="17" t="str">
        <x:v>Yayah Kallon</x:v>
      </x:c>
      <x:c r="D46" s="17" t="str">
        <x:v>Hellas Verona</x:v>
      </x:c>
      <x:c r="E46" s="17" t="str">
        <x:v>aerial_physicality</x:v>
      </x:c>
      <x:c r="F46" s="17" t="str">
        <x:v>Aerial physicality</x:v>
      </x:c>
      <x:c r="G46" s="39" t="n">
        <x:v>-0.4499624120160355</x:v>
      </x:c>
      <x:c r="H46" s="39" t="n">
        <x:v>0.0580693885404531</x:v>
      </x:c>
      <x:c r="I46" s="39" t="n">
        <x:f>G46-H46</x:f>
        <x:v>-0.5080318005564886</x:v>
      </x:c>
      <x:c r="J46" s="39" t="n">
        <x:f>ABS(I46)</x:f>
        <x:v>0.5080318005564886</x:v>
      </x:c>
      <x:c r="K46" s="17" t="str">
        <x:f>IF(J46&lt;=0.35,"Close Alignment",IF(J46&lt;=0.85,"Moderate Gap","Large Gap"))</x:f>
        <x:v>Moderate Gap</x:v>
      </x:c>
    </x:row>
    <x:row r="47" ht="23" customHeight="1">
      <x:c r="A47" s="20" t="str">
        <x:v>case_09|creation</x:v>
      </x:c>
      <x:c r="B47" s="15" t="str">
        <x:v>case_09</x:v>
      </x:c>
      <x:c r="C47" s="15" t="str">
        <x:v>Yayah Kallon</x:v>
      </x:c>
      <x:c r="D47" s="15" t="str">
        <x:v>Hellas Verona</x:v>
      </x:c>
      <x:c r="E47" s="15" t="str">
        <x:v>creation</x:v>
      </x:c>
      <x:c r="F47" s="15" t="str">
        <x:v>Creation</x:v>
      </x:c>
      <x:c r="G47" s="40" t="n">
        <x:v>0.2917494426395052</x:v>
      </x:c>
      <x:c r="H47" s="40" t="n">
        <x:v>0.1595756246571356</x:v>
      </x:c>
      <x:c r="I47" s="40" t="n">
        <x:f>G47-H47</x:f>
        <x:v>0.1321738179823696</x:v>
      </x:c>
      <x:c r="J47" s="40" t="n">
        <x:f>ABS(I47)</x:f>
        <x:v>0.1321738179823696</x:v>
      </x:c>
      <x:c r="K47" s="15" t="str">
        <x:f>IF(J47&lt;=0.35,"Close Alignment",IF(J47&lt;=0.85,"Moderate Gap","Large Gap"))</x:f>
        <x:v>Close Alignment</x:v>
      </x:c>
    </x:row>
    <x:row r="48" ht="23" customHeight="1">
      <x:c r="A48" s="19" t="str">
        <x:v>case_09|defensive_intensity</x:v>
      </x:c>
      <x:c r="B48" s="17" t="str">
        <x:v>case_09</x:v>
      </x:c>
      <x:c r="C48" s="17" t="str">
        <x:v>Yayah Kallon</x:v>
      </x:c>
      <x:c r="D48" s="17" t="str">
        <x:v>Hellas Verona</x:v>
      </x:c>
      <x:c r="E48" s="17" t="str">
        <x:v>defensive_intensity</x:v>
      </x:c>
      <x:c r="F48" s="17" t="str">
        <x:v>Defensive intensity</x:v>
      </x:c>
      <x:c r="G48" s="39" t="n">
        <x:v>0.5968162925915472</x:v>
      </x:c>
      <x:c r="H48" s="39" t="n">
        <x:v>-0.1769745750563713</x:v>
      </x:c>
      <x:c r="I48" s="39" t="n">
        <x:f>G48-H48</x:f>
        <x:v>0.7737908676479185</x:v>
      </x:c>
      <x:c r="J48" s="39" t="n">
        <x:f>ABS(I48)</x:f>
        <x:v>0.7737908676479185</x:v>
      </x:c>
      <x:c r="K48" s="17" t="str">
        <x:f>IF(J48&lt;=0.35,"Close Alignment",IF(J48&lt;=0.85,"Moderate Gap","Large Gap"))</x:f>
        <x:v>Moderate Gap</x:v>
      </x:c>
    </x:row>
    <x:row r="49" ht="23" customHeight="1">
      <x:c r="A49" s="20" t="str">
        <x:v>case_09|directness</x:v>
      </x:c>
      <x:c r="B49" s="15" t="str">
        <x:v>case_09</x:v>
      </x:c>
      <x:c r="C49" s="15" t="str">
        <x:v>Yayah Kallon</x:v>
      </x:c>
      <x:c r="D49" s="15" t="str">
        <x:v>Hellas Verona</x:v>
      </x:c>
      <x:c r="E49" s="15" t="str">
        <x:v>directness</x:v>
      </x:c>
      <x:c r="F49" s="15" t="str">
        <x:v>Directness</x:v>
      </x:c>
      <x:c r="G49" s="40" t="n">
        <x:v>-0.7944538013291901</x:v>
      </x:c>
      <x:c r="H49" s="40" t="n">
        <x:v>-0.0877420029527811</x:v>
      </x:c>
      <x:c r="I49" s="40" t="n">
        <x:f>G49-H49</x:f>
        <x:v>-0.706711798376409</x:v>
      </x:c>
      <x:c r="J49" s="40" t="n">
        <x:f>ABS(I49)</x:f>
        <x:v>0.706711798376409</x:v>
      </x:c>
      <x:c r="K49" s="15" t="str">
        <x:f>IF(J49&lt;=0.35,"Close Alignment",IF(J49&lt;=0.85,"Moderate Gap","Large Gap"))</x:f>
        <x:v>Moderate Gap</x:v>
      </x:c>
    </x:row>
    <x:row r="50" ht="23" customHeight="1">
      <x:c r="A50" s="19" t="str">
        <x:v>case_09|dribble_aggression</x:v>
      </x:c>
      <x:c r="B50" s="17" t="str">
        <x:v>case_09</x:v>
      </x:c>
      <x:c r="C50" s="17" t="str">
        <x:v>Yayah Kallon</x:v>
      </x:c>
      <x:c r="D50" s="17" t="str">
        <x:v>Hellas Verona</x:v>
      </x:c>
      <x:c r="E50" s="17" t="str">
        <x:v>dribble_aggression</x:v>
      </x:c>
      <x:c r="F50" s="17" t="str">
        <x:v>Dribble aggression</x:v>
      </x:c>
      <x:c r="G50" s="39" t="n">
        <x:v>0.0880256431058807</x:v>
      </x:c>
      <x:c r="H50" s="39" t="n">
        <x:v>0.069713733909913</x:v>
      </x:c>
      <x:c r="I50" s="39" t="n">
        <x:f>G50-H50</x:f>
        <x:v>0.018311909195967688</x:v>
      </x:c>
      <x:c r="J50" s="39" t="n">
        <x:f>ABS(I50)</x:f>
        <x:v>0.018311909195967688</x:v>
      </x:c>
      <x:c r="K50" s="17" t="str">
        <x:f>IF(J50&lt;=0.35,"Close Alignment",IF(J50&lt;=0.85,"Moderate Gap","Large Gap"))</x:f>
        <x:v>Close Alignment</x:v>
      </x:c>
    </x:row>
    <x:row r="51" ht="23" customHeight="1">
      <x:c r="A51" s="20" t="str">
        <x:v>case_09|passing_control</x:v>
      </x:c>
      <x:c r="B51" s="15" t="str">
        <x:v>case_09</x:v>
      </x:c>
      <x:c r="C51" s="15" t="str">
        <x:v>Yayah Kallon</x:v>
      </x:c>
      <x:c r="D51" s="15" t="str">
        <x:v>Hellas Verona</x:v>
      </x:c>
      <x:c r="E51" s="15" t="str">
        <x:v>passing_control</x:v>
      </x:c>
      <x:c r="F51" s="15" t="str">
        <x:v>Passing control</x:v>
      </x:c>
      <x:c r="G51" s="40" t="n">
        <x:v>-0.3859770674395948</x:v>
      </x:c>
      <x:c r="H51" s="40" t="n">
        <x:v>-0.2118337997796689</x:v>
      </x:c>
      <x:c r="I51" s="40" t="n">
        <x:f>G51-H51</x:f>
        <x:v>-0.1741432676599259</x:v>
      </x:c>
      <x:c r="J51" s="40" t="n">
        <x:f>ABS(I51)</x:f>
        <x:v>0.1741432676599259</x:v>
      </x:c>
      <x:c r="K51" s="15" t="str">
        <x:f>IF(J51&lt;=0.35,"Close Alignment",IF(J51&lt;=0.85,"Moderate Gap","Large Gap"))</x:f>
        <x:v>Close Alignment</x:v>
      </x:c>
    </x:row>
    <x:row r="52" ht="23" customHeight="1">
      <x:c r="A52" s="19" t="str">
        <x:v>case_09|progression</x:v>
      </x:c>
      <x:c r="B52" s="17" t="str">
        <x:v>case_09</x:v>
      </x:c>
      <x:c r="C52" s="17" t="str">
        <x:v>Yayah Kallon</x:v>
      </x:c>
      <x:c r="D52" s="17" t="str">
        <x:v>Hellas Verona</x:v>
      </x:c>
      <x:c r="E52" s="17" t="str">
        <x:v>progression</x:v>
      </x:c>
      <x:c r="F52" s="17" t="str">
        <x:v>Progression</x:v>
      </x:c>
      <x:c r="G52" s="39" t="n">
        <x:v>-0.093476706153804</x:v>
      </x:c>
      <x:c r="H52" s="39" t="n">
        <x:v>0.0287167768323124</x:v>
      </x:c>
      <x:c r="I52" s="39" t="n">
        <x:f>G52-H52</x:f>
        <x:v>-0.1221934829861164</x:v>
      </x:c>
      <x:c r="J52" s="39" t="n">
        <x:f>ABS(I52)</x:f>
        <x:v>0.1221934829861164</x:v>
      </x:c>
      <x:c r="K52" s="17" t="str">
        <x:f>IF(J52&lt;=0.35,"Close Alignment",IF(J52&lt;=0.85,"Moderate Gap","Large Gap"))</x:f>
        <x:v>Close Alignment</x:v>
      </x:c>
    </x:row>
    <x:row r="53" ht="23" customHeight="1">
      <x:c r="A53" s="20" t="str">
        <x:v>case_09|scoring_threat</x:v>
      </x:c>
      <x:c r="B53" s="15" t="str">
        <x:v>case_09</x:v>
      </x:c>
      <x:c r="C53" s="15" t="str">
        <x:v>Yayah Kallon</x:v>
      </x:c>
      <x:c r="D53" s="15" t="str">
        <x:v>Hellas Verona</x:v>
      </x:c>
      <x:c r="E53" s="15" t="str">
        <x:v>scoring_threat</x:v>
      </x:c>
      <x:c r="F53" s="15" t="str">
        <x:v>Scoring threat</x:v>
      </x:c>
      <x:c r="G53" s="40" t="n">
        <x:v>-0.8559390065815604</x:v>
      </x:c>
      <x:c r="H53" s="40" t="n">
        <x:v>0.2016037213365328</x:v>
      </x:c>
      <x:c r="I53" s="40" t="n">
        <x:f>G53-H53</x:f>
        <x:v>-1.0575427279180931</x:v>
      </x:c>
      <x:c r="J53" s="40" t="n">
        <x:f>ABS(I53)</x:f>
        <x:v>1.0575427279180931</x:v>
      </x:c>
      <x:c r="K53" s="15" t="str">
        <x:f>IF(J53&lt;=0.35,"Close Alignment",IF(J53&lt;=0.85,"Moderate Gap","Large Gap"))</x:f>
        <x:v>Large Gap</x:v>
      </x:c>
    </x:row>
    <x:row r="54" ht="23" customHeight="1">
      <x:c r="A54" s="19" t="str">
        <x:v>case_02|aerial_physicality</x:v>
      </x:c>
      <x:c r="B54" s="17" t="str">
        <x:v>case_02</x:v>
      </x:c>
      <x:c r="C54" s="17" t="str">
        <x:v>Óscar Rodríguez Arnaiz</x:v>
      </x:c>
      <x:c r="D54" s="17" t="str">
        <x:v>Celta de Vigo</x:v>
      </x:c>
      <x:c r="E54" s="17" t="str">
        <x:v>aerial_physicality</x:v>
      </x:c>
      <x:c r="F54" s="17" t="str">
        <x:v>Aerial physicality</x:v>
      </x:c>
      <x:c r="G54" s="39" t="n">
        <x:v>-0.2721395699464493</x:v>
      </x:c>
      <x:c r="H54" s="39" t="n">
        <x:v>-0.0179528893864057</x:v>
      </x:c>
      <x:c r="I54" s="39" t="n">
        <x:f>G54-H54</x:f>
        <x:v>-0.25418668056004357</x:v>
      </x:c>
      <x:c r="J54" s="39" t="n">
        <x:f>ABS(I54)</x:f>
        <x:v>0.25418668056004357</x:v>
      </x:c>
      <x:c r="K54" s="17" t="str">
        <x:f>IF(J54&lt;=0.35,"Close Alignment",IF(J54&lt;=0.85,"Moderate Gap","Large Gap"))</x:f>
        <x:v>Close Alignment</x:v>
      </x:c>
    </x:row>
    <x:row r="55" ht="23" customHeight="1">
      <x:c r="A55" s="20" t="str">
        <x:v>case_02|creation</x:v>
      </x:c>
      <x:c r="B55" s="15" t="str">
        <x:v>case_02</x:v>
      </x:c>
      <x:c r="C55" s="15" t="str">
        <x:v>Óscar Rodríguez Arnaiz</x:v>
      </x:c>
      <x:c r="D55" s="15" t="str">
        <x:v>Celta de Vigo</x:v>
      </x:c>
      <x:c r="E55" s="15" t="str">
        <x:v>creation</x:v>
      </x:c>
      <x:c r="F55" s="15" t="str">
        <x:v>Creation</x:v>
      </x:c>
      <x:c r="G55" s="40" t="n">
        <x:v>0.1798584297378122</x:v>
      </x:c>
      <x:c r="H55" s="40" t="n">
        <x:v>-0.1219002765156729</x:v>
      </x:c>
      <x:c r="I55" s="40" t="n">
        <x:f>G55-H55</x:f>
        <x:v>0.3017587062534851</x:v>
      </x:c>
      <x:c r="J55" s="40" t="n">
        <x:f>ABS(I55)</x:f>
        <x:v>0.3017587062534851</x:v>
      </x:c>
      <x:c r="K55" s="15" t="str">
        <x:f>IF(J55&lt;=0.35,"Close Alignment",IF(J55&lt;=0.85,"Moderate Gap","Large Gap"))</x:f>
        <x:v>Close Alignment</x:v>
      </x:c>
    </x:row>
    <x:row r="56" ht="23" customHeight="1">
      <x:c r="A56" s="19" t="str">
        <x:v>case_02|defensive_intensity</x:v>
      </x:c>
      <x:c r="B56" s="17" t="str">
        <x:v>case_02</x:v>
      </x:c>
      <x:c r="C56" s="17" t="str">
        <x:v>Óscar Rodríguez Arnaiz</x:v>
      </x:c>
      <x:c r="D56" s="17" t="str">
        <x:v>Celta de Vigo</x:v>
      </x:c>
      <x:c r="E56" s="17" t="str">
        <x:v>defensive_intensity</x:v>
      </x:c>
      <x:c r="F56" s="17" t="str">
        <x:v>Defensive intensity</x:v>
      </x:c>
      <x:c r="G56" s="39" t="n">
        <x:v>-0.3310111323997295</x:v>
      </x:c>
      <x:c r="H56" s="39" t="n">
        <x:v>0.0058532481291869</x:v>
      </x:c>
      <x:c r="I56" s="39" t="n">
        <x:f>G56-H56</x:f>
        <x:v>-0.33686438052891643</x:v>
      </x:c>
      <x:c r="J56" s="39" t="n">
        <x:f>ABS(I56)</x:f>
        <x:v>0.33686438052891643</x:v>
      </x:c>
      <x:c r="K56" s="17" t="str">
        <x:f>IF(J56&lt;=0.35,"Close Alignment",IF(J56&lt;=0.85,"Moderate Gap","Large Gap"))</x:f>
        <x:v>Close Alignment</x:v>
      </x:c>
    </x:row>
    <x:row r="57" ht="23" customHeight="1">
      <x:c r="A57" s="20" t="str">
        <x:v>case_02|directness</x:v>
      </x:c>
      <x:c r="B57" s="15" t="str">
        <x:v>case_02</x:v>
      </x:c>
      <x:c r="C57" s="15" t="str">
        <x:v>Óscar Rodríguez Arnaiz</x:v>
      </x:c>
      <x:c r="D57" s="15" t="str">
        <x:v>Celta de Vigo</x:v>
      </x:c>
      <x:c r="E57" s="15" t="str">
        <x:v>directness</x:v>
      </x:c>
      <x:c r="F57" s="15" t="str">
        <x:v>Directness</x:v>
      </x:c>
      <x:c r="G57" s="40" t="n">
        <x:v>0.1446537158165385</x:v>
      </x:c>
      <x:c r="H57" s="40" t="n">
        <x:v>-0.0556657541188512</x:v>
      </x:c>
      <x:c r="I57" s="40" t="n">
        <x:f>G57-H57</x:f>
        <x:v>0.20031946993538968</x:v>
      </x:c>
      <x:c r="J57" s="40" t="n">
        <x:f>ABS(I57)</x:f>
        <x:v>0.20031946993538968</x:v>
      </x:c>
      <x:c r="K57" s="15" t="str">
        <x:f>IF(J57&lt;=0.35,"Close Alignment",IF(J57&lt;=0.85,"Moderate Gap","Large Gap"))</x:f>
        <x:v>Close Alignment</x:v>
      </x:c>
    </x:row>
    <x:row r="58" ht="23" customHeight="1">
      <x:c r="A58" s="19" t="str">
        <x:v>case_02|dribble_aggression</x:v>
      </x:c>
      <x:c r="B58" s="17" t="str">
        <x:v>case_02</x:v>
      </x:c>
      <x:c r="C58" s="17" t="str">
        <x:v>Óscar Rodríguez Arnaiz</x:v>
      </x:c>
      <x:c r="D58" s="17" t="str">
        <x:v>Celta de Vigo</x:v>
      </x:c>
      <x:c r="E58" s="17" t="str">
        <x:v>dribble_aggression</x:v>
      </x:c>
      <x:c r="F58" s="17" t="str">
        <x:v>Dribble aggression</x:v>
      </x:c>
      <x:c r="G58" s="39" t="n">
        <x:v>0.7096767794624451</x:v>
      </x:c>
      <x:c r="H58" s="39" t="n">
        <x:v>-0.09326997528604</x:v>
      </x:c>
      <x:c r="I58" s="39" t="n">
        <x:f>G58-H58</x:f>
        <x:v>0.8029467547484851</x:v>
      </x:c>
      <x:c r="J58" s="39" t="n">
        <x:f>ABS(I58)</x:f>
        <x:v>0.8029467547484851</x:v>
      </x:c>
      <x:c r="K58" s="17" t="str">
        <x:f>IF(J58&lt;=0.35,"Close Alignment",IF(J58&lt;=0.85,"Moderate Gap","Large Gap"))</x:f>
        <x:v>Moderate Gap</x:v>
      </x:c>
    </x:row>
    <x:row r="59" ht="23" customHeight="1">
      <x:c r="A59" s="20" t="str">
        <x:v>case_02|passing_control</x:v>
      </x:c>
      <x:c r="B59" s="15" t="str">
        <x:v>case_02</x:v>
      </x:c>
      <x:c r="C59" s="15" t="str">
        <x:v>Óscar Rodríguez Arnaiz</x:v>
      </x:c>
      <x:c r="D59" s="15" t="str">
        <x:v>Celta de Vigo</x:v>
      </x:c>
      <x:c r="E59" s="15" t="str">
        <x:v>passing_control</x:v>
      </x:c>
      <x:c r="F59" s="15" t="str">
        <x:v>Passing control</x:v>
      </x:c>
      <x:c r="G59" s="40" t="n">
        <x:v>-0.174708911982537</x:v>
      </x:c>
      <x:c r="H59" s="40" t="n">
        <x:v>0.1472986682953221</x:v>
      </x:c>
      <x:c r="I59" s="40" t="n">
        <x:f>G59-H59</x:f>
        <x:v>-0.3220075802778591</x:v>
      </x:c>
      <x:c r="J59" s="40" t="n">
        <x:f>ABS(I59)</x:f>
        <x:v>0.3220075802778591</x:v>
      </x:c>
      <x:c r="K59" s="15" t="str">
        <x:f>IF(J59&lt;=0.35,"Close Alignment",IF(J59&lt;=0.85,"Moderate Gap","Large Gap"))</x:f>
        <x:v>Close Alignment</x:v>
      </x:c>
    </x:row>
    <x:row r="60" ht="23" customHeight="1">
      <x:c r="A60" s="19" t="str">
        <x:v>case_02|progression</x:v>
      </x:c>
      <x:c r="B60" s="17" t="str">
        <x:v>case_02</x:v>
      </x:c>
      <x:c r="C60" s="17" t="str">
        <x:v>Óscar Rodríguez Arnaiz</x:v>
      </x:c>
      <x:c r="D60" s="17" t="str">
        <x:v>Celta de Vigo</x:v>
      </x:c>
      <x:c r="E60" s="17" t="str">
        <x:v>progression</x:v>
      </x:c>
      <x:c r="F60" s="17" t="str">
        <x:v>Progression</x:v>
      </x:c>
      <x:c r="G60" s="39" t="n">
        <x:v>0.2282864476073722</x:v>
      </x:c>
      <x:c r="H60" s="39" t="n">
        <x:v>-0.0065571684530947</x:v>
      </x:c>
      <x:c r="I60" s="39" t="n">
        <x:f>G60-H60</x:f>
        <x:v>0.23484361606046691</x:v>
      </x:c>
      <x:c r="J60" s="39" t="n">
        <x:f>ABS(I60)</x:f>
        <x:v>0.23484361606046691</x:v>
      </x:c>
      <x:c r="K60" s="17" t="str">
        <x:f>IF(J60&lt;=0.35,"Close Alignment",IF(J60&lt;=0.85,"Moderate Gap","Large Gap"))</x:f>
        <x:v>Close Alignment</x:v>
      </x:c>
    </x:row>
    <x:row r="61" ht="23" customHeight="1">
      <x:c r="A61" s="20" t="str">
        <x:v>case_02|scoring_threat</x:v>
      </x:c>
      <x:c r="B61" s="15" t="str">
        <x:v>case_02</x:v>
      </x:c>
      <x:c r="C61" s="15" t="str">
        <x:v>Óscar Rodríguez Arnaiz</x:v>
      </x:c>
      <x:c r="D61" s="15" t="str">
        <x:v>Celta de Vigo</x:v>
      </x:c>
      <x:c r="E61" s="15" t="str">
        <x:v>scoring_threat</x:v>
      </x:c>
      <x:c r="F61" s="15" t="str">
        <x:v>Scoring threat</x:v>
      </x:c>
      <x:c r="G61" s="40" t="n">
        <x:v>0.3582533229186243</x:v>
      </x:c>
      <x:c r="H61" s="40" t="n">
        <x:v>-0.1378579033200492</x:v>
      </x:c>
      <x:c r="I61" s="40" t="n">
        <x:f>G61-H61</x:f>
        <x:v>0.4961112262386735</x:v>
      </x:c>
      <x:c r="J61" s="40" t="n">
        <x:f>ABS(I61)</x:f>
        <x:v>0.4961112262386735</x:v>
      </x:c>
      <x:c r="K61" s="15" t="str">
        <x:f>IF(J61&lt;=0.35,"Close Alignment",IF(J61&lt;=0.85,"Moderate Gap","Large Gap"))</x:f>
        <x:v>Moderate Gap</x:v>
      </x:c>
    </x:row>
    <x:row r="62" ht="23" customHeight="1">
      <x:c r="A62" s="19" t="str">
        <x:v>case_12|aerial_physicality</x:v>
      </x:c>
      <x:c r="B62" s="17" t="str">
        <x:v>case_12</x:v>
      </x:c>
      <x:c r="C62" s="17" t="str">
        <x:v>Antonio Candreva</x:v>
      </x:c>
      <x:c r="D62" s="17" t="str">
        <x:v>US Salernitana 1919</x:v>
      </x:c>
      <x:c r="E62" s="17" t="str">
        <x:v>aerial_physicality</x:v>
      </x:c>
      <x:c r="F62" s="17" t="str">
        <x:v>Aerial physicality</x:v>
      </x:c>
      <x:c r="G62" s="39" t="n">
        <x:v>-0.4534036930946817</x:v>
      </x:c>
      <x:c r="H62" s="39" t="n">
        <x:v>0.0611559082222253</x:v>
      </x:c>
      <x:c r="I62" s="39" t="n">
        <x:f>G62-H62</x:f>
        <x:v>-0.514559601316907</x:v>
      </x:c>
      <x:c r="J62" s="39" t="n">
        <x:f>ABS(I62)</x:f>
        <x:v>0.514559601316907</x:v>
      </x:c>
      <x:c r="K62" s="17" t="str">
        <x:f>IF(J62&lt;=0.35,"Close Alignment",IF(J62&lt;=0.85,"Moderate Gap","Large Gap"))</x:f>
        <x:v>Moderate Gap</x:v>
      </x:c>
    </x:row>
    <x:row r="63" ht="23" customHeight="1">
      <x:c r="A63" s="20" t="str">
        <x:v>case_12|creation</x:v>
      </x:c>
      <x:c r="B63" s="15" t="str">
        <x:v>case_12</x:v>
      </x:c>
      <x:c r="C63" s="15" t="str">
        <x:v>Antonio Candreva</x:v>
      </x:c>
      <x:c r="D63" s="15" t="str">
        <x:v>US Salernitana 1919</x:v>
      </x:c>
      <x:c r="E63" s="15" t="str">
        <x:v>creation</x:v>
      </x:c>
      <x:c r="F63" s="15" t="str">
        <x:v>Creation</x:v>
      </x:c>
      <x:c r="G63" s="40" t="n">
        <x:v>0.8900685599324161</x:v>
      </x:c>
      <x:c r="H63" s="40" t="n">
        <x:v>-0.2114679469667028</x:v>
      </x:c>
      <x:c r="I63" s="40" t="n">
        <x:f>G63-H63</x:f>
        <x:v>1.101536506899119</x:v>
      </x:c>
      <x:c r="J63" s="40" t="n">
        <x:f>ABS(I63)</x:f>
        <x:v>1.101536506899119</x:v>
      </x:c>
      <x:c r="K63" s="15" t="str">
        <x:f>IF(J63&lt;=0.35,"Close Alignment",IF(J63&lt;=0.85,"Moderate Gap","Large Gap"))</x:f>
        <x:v>Large Gap</x:v>
      </x:c>
    </x:row>
    <x:row r="64" ht="23" customHeight="1">
      <x:c r="A64" s="19" t="str">
        <x:v>case_12|defensive_intensity</x:v>
      </x:c>
      <x:c r="B64" s="17" t="str">
        <x:v>case_12</x:v>
      </x:c>
      <x:c r="C64" s="17" t="str">
        <x:v>Antonio Candreva</x:v>
      </x:c>
      <x:c r="D64" s="17" t="str">
        <x:v>US Salernitana 1919</x:v>
      </x:c>
      <x:c r="E64" s="17" t="str">
        <x:v>defensive_intensity</x:v>
      </x:c>
      <x:c r="F64" s="17" t="str">
        <x:v>Defensive intensity</x:v>
      </x:c>
      <x:c r="G64" s="39" t="n">
        <x:v>-0.6484208479608482</x:v>
      </x:c>
      <x:c r="H64" s="39" t="n">
        <x:v>-0.0922158313057184</x:v>
      </x:c>
      <x:c r="I64" s="39" t="n">
        <x:f>G64-H64</x:f>
        <x:v>-0.5562050166551298</x:v>
      </x:c>
      <x:c r="J64" s="39" t="n">
        <x:f>ABS(I64)</x:f>
        <x:v>0.5562050166551298</x:v>
      </x:c>
      <x:c r="K64" s="17" t="str">
        <x:f>IF(J64&lt;=0.35,"Close Alignment",IF(J64&lt;=0.85,"Moderate Gap","Large Gap"))</x:f>
        <x:v>Moderate Gap</x:v>
      </x:c>
    </x:row>
    <x:row r="65" ht="23" customHeight="1">
      <x:c r="A65" s="20" t="str">
        <x:v>case_12|directness</x:v>
      </x:c>
      <x:c r="B65" s="15" t="str">
        <x:v>case_12</x:v>
      </x:c>
      <x:c r="C65" s="15" t="str">
        <x:v>Antonio Candreva</x:v>
      </x:c>
      <x:c r="D65" s="15" t="str">
        <x:v>US Salernitana 1919</x:v>
      </x:c>
      <x:c r="E65" s="15" t="str">
        <x:v>directness</x:v>
      </x:c>
      <x:c r="F65" s="15" t="str">
        <x:v>Directness</x:v>
      </x:c>
      <x:c r="G65" s="40" t="n">
        <x:v>0.4086064836064726</x:v>
      </x:c>
      <x:c r="H65" s="40" t="n">
        <x:v>-0.3435969805556302</x:v>
      </x:c>
      <x:c r="I65" s="40" t="n">
        <x:f>G65-H65</x:f>
        <x:v>0.7522034641621028</x:v>
      </x:c>
      <x:c r="J65" s="40" t="n">
        <x:f>ABS(I65)</x:f>
        <x:v>0.7522034641621028</x:v>
      </x:c>
      <x:c r="K65" s="15" t="str">
        <x:f>IF(J65&lt;=0.35,"Close Alignment",IF(J65&lt;=0.85,"Moderate Gap","Large Gap"))</x:f>
        <x:v>Moderate Gap</x:v>
      </x:c>
    </x:row>
    <x:row r="66" ht="23" customHeight="1">
      <x:c r="A66" s="19" t="str">
        <x:v>case_12|dribble_aggression</x:v>
      </x:c>
      <x:c r="B66" s="17" t="str">
        <x:v>case_12</x:v>
      </x:c>
      <x:c r="C66" s="17" t="str">
        <x:v>Antonio Candreva</x:v>
      </x:c>
      <x:c r="D66" s="17" t="str">
        <x:v>US Salernitana 1919</x:v>
      </x:c>
      <x:c r="E66" s="17" t="str">
        <x:v>dribble_aggression</x:v>
      </x:c>
      <x:c r="F66" s="17" t="str">
        <x:v>Dribble aggression</x:v>
      </x:c>
      <x:c r="G66" s="39" t="n">
        <x:v>0.0653588270992051</x:v>
      </x:c>
      <x:c r="H66" s="39" t="n">
        <x:v>-0.191718840370468</x:v>
      </x:c>
      <x:c r="I66" s="39" t="n">
        <x:f>G66-H66</x:f>
        <x:v>0.2570776674696731</x:v>
      </x:c>
      <x:c r="J66" s="39" t="n">
        <x:f>ABS(I66)</x:f>
        <x:v>0.2570776674696731</x:v>
      </x:c>
      <x:c r="K66" s="17" t="str">
        <x:f>IF(J66&lt;=0.35,"Close Alignment",IF(J66&lt;=0.85,"Moderate Gap","Large Gap"))</x:f>
        <x:v>Close Alignment</x:v>
      </x:c>
    </x:row>
    <x:row r="67" ht="23" customHeight="1">
      <x:c r="A67" s="20" t="str">
        <x:v>case_12|passing_control</x:v>
      </x:c>
      <x:c r="B67" s="15" t="str">
        <x:v>case_12</x:v>
      </x:c>
      <x:c r="C67" s="15" t="str">
        <x:v>Antonio Candreva</x:v>
      </x:c>
      <x:c r="D67" s="15" t="str">
        <x:v>US Salernitana 1919</x:v>
      </x:c>
      <x:c r="E67" s="15" t="str">
        <x:v>passing_control</x:v>
      </x:c>
      <x:c r="F67" s="15" t="str">
        <x:v>Passing control</x:v>
      </x:c>
      <x:c r="G67" s="40" t="n">
        <x:v>-0.0563950090671305</x:v>
      </x:c>
      <x:c r="H67" s="40" t="n">
        <x:v>-0.1214290998960055</x:v>
      </x:c>
      <x:c r="I67" s="40" t="n">
        <x:f>G67-H67</x:f>
        <x:v>0.06503409082887501</x:v>
      </x:c>
      <x:c r="J67" s="40" t="n">
        <x:f>ABS(I67)</x:f>
        <x:v>0.06503409082887501</x:v>
      </x:c>
      <x:c r="K67" s="15" t="str">
        <x:f>IF(J67&lt;=0.35,"Close Alignment",IF(J67&lt;=0.85,"Moderate Gap","Large Gap"))</x:f>
        <x:v>Close Alignment</x:v>
      </x:c>
    </x:row>
    <x:row r="68" ht="23" customHeight="1">
      <x:c r="A68" s="19" t="str">
        <x:v>case_12|progression</x:v>
      </x:c>
      <x:c r="B68" s="17" t="str">
        <x:v>case_12</x:v>
      </x:c>
      <x:c r="C68" s="17" t="str">
        <x:v>Antonio Candreva</x:v>
      </x:c>
      <x:c r="D68" s="17" t="str">
        <x:v>US Salernitana 1919</x:v>
      </x:c>
      <x:c r="E68" s="17" t="str">
        <x:v>progression</x:v>
      </x:c>
      <x:c r="F68" s="17" t="str">
        <x:v>Progression</x:v>
      </x:c>
      <x:c r="G68" s="39" t="n">
        <x:v>0.5347064559439355</x:v>
      </x:c>
      <x:c r="H68" s="39" t="n">
        <x:v>-0.3479659899730941</x:v>
      </x:c>
      <x:c r="I68" s="39" t="n">
        <x:f>G68-H68</x:f>
        <x:v>0.8826724459170296</x:v>
      </x:c>
      <x:c r="J68" s="39" t="n">
        <x:f>ABS(I68)</x:f>
        <x:v>0.8826724459170296</x:v>
      </x:c>
      <x:c r="K68" s="17" t="str">
        <x:f>IF(J68&lt;=0.35,"Close Alignment",IF(J68&lt;=0.85,"Moderate Gap","Large Gap"))</x:f>
        <x:v>Large Gap</x:v>
      </x:c>
    </x:row>
    <x:row r="69" ht="23" customHeight="1">
      <x:c r="A69" s="20" t="str">
        <x:v>case_12|scoring_threat</x:v>
      </x:c>
      <x:c r="B69" s="15" t="str">
        <x:v>case_12</x:v>
      </x:c>
      <x:c r="C69" s="15" t="str">
        <x:v>Antonio Candreva</x:v>
      </x:c>
      <x:c r="D69" s="15" t="str">
        <x:v>US Salernitana 1919</x:v>
      </x:c>
      <x:c r="E69" s="15" t="str">
        <x:v>scoring_threat</x:v>
      </x:c>
      <x:c r="F69" s="15" t="str">
        <x:v>Scoring threat</x:v>
      </x:c>
      <x:c r="G69" s="40" t="n">
        <x:v>0.3653927456387338</x:v>
      </x:c>
      <x:c r="H69" s="40" t="n">
        <x:v>-0.1386153409012479</x:v>
      </x:c>
      <x:c r="I69" s="40" t="n">
        <x:f>G69-H69</x:f>
        <x:v>0.5040080865399817</x:v>
      </x:c>
      <x:c r="J69" s="40" t="n">
        <x:f>ABS(I69)</x:f>
        <x:v>0.5040080865399817</x:v>
      </x:c>
      <x:c r="K69" s="15" t="str">
        <x:f>IF(J69&lt;=0.35,"Close Alignment",IF(J69&lt;=0.85,"Moderate Gap","Large Gap"))</x:f>
        <x:v>Moderate Gap</x:v>
      </x:c>
    </x:row>
    <x:row r="70" ht="23" customHeight="1">
      <x:c r="A70" s="19" t="str">
        <x:v>case_08|aerial_physicality</x:v>
      </x:c>
      <x:c r="B70" s="17" t="str">
        <x:v>case_08</x:v>
      </x:c>
      <x:c r="C70" s="17" t="str">
        <x:v>Aridane Hernández</x:v>
      </x:c>
      <x:c r="D70" s="17" t="str">
        <x:v>Rayo Vallecano</x:v>
      </x:c>
      <x:c r="E70" s="17" t="str">
        <x:v>aerial_physicality</x:v>
      </x:c>
      <x:c r="F70" s="17" t="str">
        <x:v>Aerial physicality</x:v>
      </x:c>
      <x:c r="G70" s="39" t="n">
        <x:v>0.9969631629269872</x:v>
      </x:c>
      <x:c r="H70" s="39" t="n">
        <x:v>-0.0486983016452131</x:v>
      </x:c>
      <x:c r="I70" s="39" t="n">
        <x:f>G70-H70</x:f>
        <x:v>1.0456614645722002</x:v>
      </x:c>
      <x:c r="J70" s="39" t="n">
        <x:f>ABS(I70)</x:f>
        <x:v>1.0456614645722002</x:v>
      </x:c>
      <x:c r="K70" s="17" t="str">
        <x:f>IF(J70&lt;=0.35,"Close Alignment",IF(J70&lt;=0.85,"Moderate Gap","Large Gap"))</x:f>
        <x:v>Large Gap</x:v>
      </x:c>
    </x:row>
    <x:row r="71" ht="23" customHeight="1">
      <x:c r="A71" s="20" t="str">
        <x:v>case_08|creation</x:v>
      </x:c>
      <x:c r="B71" s="15" t="str">
        <x:v>case_08</x:v>
      </x:c>
      <x:c r="C71" s="15" t="str">
        <x:v>Aridane Hernández</x:v>
      </x:c>
      <x:c r="D71" s="15" t="str">
        <x:v>Rayo Vallecano</x:v>
      </x:c>
      <x:c r="E71" s="15" t="str">
        <x:v>creation</x:v>
      </x:c>
      <x:c r="F71" s="15" t="str">
        <x:v>Creation</x:v>
      </x:c>
      <x:c r="G71" s="40" t="n">
        <x:v>-0.4892417934650673</x:v>
      </x:c>
      <x:c r="H71" s="40" t="n">
        <x:v>-0.0500598993522186</x:v>
      </x:c>
      <x:c r="I71" s="40" t="n">
        <x:f>G71-H71</x:f>
        <x:v>-0.4391818941128487</x:v>
      </x:c>
      <x:c r="J71" s="40" t="n">
        <x:f>ABS(I71)</x:f>
        <x:v>0.4391818941128487</x:v>
      </x:c>
      <x:c r="K71" s="15" t="str">
        <x:f>IF(J71&lt;=0.35,"Close Alignment",IF(J71&lt;=0.85,"Moderate Gap","Large Gap"))</x:f>
        <x:v>Moderate Gap</x:v>
      </x:c>
    </x:row>
    <x:row r="72" ht="23" customHeight="1">
      <x:c r="A72" s="19" t="str">
        <x:v>case_08|defensive_intensity</x:v>
      </x:c>
      <x:c r="B72" s="17" t="str">
        <x:v>case_08</x:v>
      </x:c>
      <x:c r="C72" s="17" t="str">
        <x:v>Aridane Hernández</x:v>
      </x:c>
      <x:c r="D72" s="17" t="str">
        <x:v>Rayo Vallecano</x:v>
      </x:c>
      <x:c r="E72" s="17" t="str">
        <x:v>defensive_intensity</x:v>
      </x:c>
      <x:c r="F72" s="17" t="str">
        <x:v>Defensive intensity</x:v>
      </x:c>
      <x:c r="G72" s="39" t="n">
        <x:v>-0.1476918686582054</x:v>
      </x:c>
      <x:c r="H72" s="39" t="n">
        <x:v>0.0004881072460431</x:v>
      </x:c>
      <x:c r="I72" s="39" t="n">
        <x:f>G72-H72</x:f>
        <x:v>-0.1481799759042485</x:v>
      </x:c>
      <x:c r="J72" s="39" t="n">
        <x:f>ABS(I72)</x:f>
        <x:v>0.1481799759042485</x:v>
      </x:c>
      <x:c r="K72" s="17" t="str">
        <x:f>IF(J72&lt;=0.35,"Close Alignment",IF(J72&lt;=0.85,"Moderate Gap","Large Gap"))</x:f>
        <x:v>Close Alignment</x:v>
      </x:c>
    </x:row>
    <x:row r="73" ht="23" customHeight="1">
      <x:c r="A73" s="20" t="str">
        <x:v>case_08|directness</x:v>
      </x:c>
      <x:c r="B73" s="15" t="str">
        <x:v>case_08</x:v>
      </x:c>
      <x:c r="C73" s="15" t="str">
        <x:v>Aridane Hernández</x:v>
      </x:c>
      <x:c r="D73" s="15" t="str">
        <x:v>Rayo Vallecano</x:v>
      </x:c>
      <x:c r="E73" s="15" t="str">
        <x:v>directness</x:v>
      </x:c>
      <x:c r="F73" s="15" t="str">
        <x:v>Directness</x:v>
      </x:c>
      <x:c r="G73" s="40" t="n">
        <x:v>-0.5078825351703679</x:v>
      </x:c>
      <x:c r="H73" s="40" t="n">
        <x:v>0.0390474377246608</x:v>
      </x:c>
      <x:c r="I73" s="40" t="n">
        <x:f>G73-H73</x:f>
        <x:v>-0.5469299728950286</x:v>
      </x:c>
      <x:c r="J73" s="40" t="n">
        <x:f>ABS(I73)</x:f>
        <x:v>0.5469299728950286</x:v>
      </x:c>
      <x:c r="K73" s="15" t="str">
        <x:f>IF(J73&lt;=0.35,"Close Alignment",IF(J73&lt;=0.85,"Moderate Gap","Large Gap"))</x:f>
        <x:v>Moderate Gap</x:v>
      </x:c>
    </x:row>
    <x:row r="74" ht="23" customHeight="1">
      <x:c r="A74" s="19" t="str">
        <x:v>case_08|dribble_aggression</x:v>
      </x:c>
      <x:c r="B74" s="17" t="str">
        <x:v>case_08</x:v>
      </x:c>
      <x:c r="C74" s="17" t="str">
        <x:v>Aridane Hernández</x:v>
      </x:c>
      <x:c r="D74" s="17" t="str">
        <x:v>Rayo Vallecano</x:v>
      </x:c>
      <x:c r="E74" s="17" t="str">
        <x:v>dribble_aggression</x:v>
      </x:c>
      <x:c r="F74" s="17" t="str">
        <x:v>Dribble aggression</x:v>
      </x:c>
      <x:c r="G74" s="39" t="n">
        <x:v>-0.5352077194574174</x:v>
      </x:c>
      <x:c r="H74" s="39" t="n">
        <x:v>-0.1175179122313496</x:v>
      </x:c>
      <x:c r="I74" s="39" t="n">
        <x:f>G74-H74</x:f>
        <x:v>-0.4176898072260678</x:v>
      </x:c>
      <x:c r="J74" s="39" t="n">
        <x:f>ABS(I74)</x:f>
        <x:v>0.4176898072260678</x:v>
      </x:c>
      <x:c r="K74" s="17" t="str">
        <x:f>IF(J74&lt;=0.35,"Close Alignment",IF(J74&lt;=0.85,"Moderate Gap","Large Gap"))</x:f>
        <x:v>Moderate Gap</x:v>
      </x:c>
    </x:row>
    <x:row r="75" ht="23" customHeight="1">
      <x:c r="A75" s="20" t="str">
        <x:v>case_08|passing_control</x:v>
      </x:c>
      <x:c r="B75" s="15" t="str">
        <x:v>case_08</x:v>
      </x:c>
      <x:c r="C75" s="15" t="str">
        <x:v>Aridane Hernández</x:v>
      </x:c>
      <x:c r="D75" s="15" t="str">
        <x:v>Rayo Vallecano</x:v>
      </x:c>
      <x:c r="E75" s="15" t="str">
        <x:v>passing_control</x:v>
      </x:c>
      <x:c r="F75" s="15" t="str">
        <x:v>Passing control</x:v>
      </x:c>
      <x:c r="G75" s="40" t="n">
        <x:v>-0.0923580883654936</x:v>
      </x:c>
      <x:c r="H75" s="40" t="n">
        <x:v>0.0373388054466658</x:v>
      </x:c>
      <x:c r="I75" s="40" t="n">
        <x:f>G75-H75</x:f>
        <x:v>-0.1296968938121594</x:v>
      </x:c>
      <x:c r="J75" s="40" t="n">
        <x:f>ABS(I75)</x:f>
        <x:v>0.1296968938121594</x:v>
      </x:c>
      <x:c r="K75" s="15" t="str">
        <x:f>IF(J75&lt;=0.35,"Close Alignment",IF(J75&lt;=0.85,"Moderate Gap","Large Gap"))</x:f>
        <x:v>Close Alignment</x:v>
      </x:c>
    </x:row>
    <x:row r="76" ht="23" customHeight="1">
      <x:c r="A76" s="19" t="str">
        <x:v>case_08|progression</x:v>
      </x:c>
      <x:c r="B76" s="17" t="str">
        <x:v>case_08</x:v>
      </x:c>
      <x:c r="C76" s="17" t="str">
        <x:v>Aridane Hernández</x:v>
      </x:c>
      <x:c r="D76" s="17" t="str">
        <x:v>Rayo Vallecano</x:v>
      </x:c>
      <x:c r="E76" s="17" t="str">
        <x:v>progression</x:v>
      </x:c>
      <x:c r="F76" s="17" t="str">
        <x:v>Progression</x:v>
      </x:c>
      <x:c r="G76" s="39" t="n">
        <x:v>-0.662295565166955</x:v>
      </x:c>
      <x:c r="H76" s="39" t="n">
        <x:v>0.128041495774389</x:v>
      </x:c>
      <x:c r="I76" s="39" t="n">
        <x:f>G76-H76</x:f>
        <x:v>-0.790337060941344</x:v>
      </x:c>
      <x:c r="J76" s="39" t="n">
        <x:f>ABS(I76)</x:f>
        <x:v>0.790337060941344</x:v>
      </x:c>
      <x:c r="K76" s="17" t="str">
        <x:f>IF(J76&lt;=0.35,"Close Alignment",IF(J76&lt;=0.85,"Moderate Gap","Large Gap"))</x:f>
        <x:v>Moderate Gap</x:v>
      </x:c>
    </x:row>
    <x:row r="77" ht="23" customHeight="1">
      <x:c r="A77" s="20" t="str">
        <x:v>case_08|scoring_threat</x:v>
      </x:c>
      <x:c r="B77" s="15" t="str">
        <x:v>case_08</x:v>
      </x:c>
      <x:c r="C77" s="15" t="str">
        <x:v>Aridane Hernández</x:v>
      </x:c>
      <x:c r="D77" s="15" t="str">
        <x:v>Rayo Vallecano</x:v>
      </x:c>
      <x:c r="E77" s="15" t="str">
        <x:v>scoring_threat</x:v>
      </x:c>
      <x:c r="F77" s="15" t="str">
        <x:v>Scoring threat</x:v>
      </x:c>
      <x:c r="G77" s="40" t="n">
        <x:v>-0.5794305015590115</x:v>
      </x:c>
      <x:c r="H77" s="40" t="n">
        <x:v>-0.102785389810529</x:v>
      </x:c>
      <x:c r="I77" s="40" t="n">
        <x:f>G77-H77</x:f>
        <x:v>-0.47664511174848256</x:v>
      </x:c>
      <x:c r="J77" s="40" t="n">
        <x:f>ABS(I77)</x:f>
        <x:v>0.47664511174848256</x:v>
      </x:c>
      <x:c r="K77" s="15" t="str">
        <x:f>IF(J77&lt;=0.35,"Close Alignment",IF(J77&lt;=0.85,"Moderate Gap","Large Gap"))</x:f>
        <x:v>Moderate Gap</x:v>
      </x:c>
    </x:row>
    <x:row r="78" ht="23" customHeight="1">
      <x:c r="A78" s="19" t="str">
        <x:v>case_06|aerial_physicality</x:v>
      </x:c>
      <x:c r="B78" s="17" t="str">
        <x:v>case_06</x:v>
      </x:c>
      <x:c r="C78" s="17" t="str">
        <x:v>Faride Alidou</x:v>
      </x:c>
      <x:c r="D78" s="17" t="str">
        <x:v>1.FC Köln</x:v>
      </x:c>
      <x:c r="E78" s="17" t="str">
        <x:v>aerial_physicality</x:v>
      </x:c>
      <x:c r="F78" s="17" t="str">
        <x:v>Aerial physicality</x:v>
      </x:c>
      <x:c r="G78" s="39" t="n">
        <x:v>-1.2690048144403436</x:v>
      </x:c>
      <x:c r="H78" s="39" t="n">
        <x:v>0.1240920534636741</x:v>
      </x:c>
      <x:c r="I78" s="39" t="n">
        <x:f>G78-H78</x:f>
        <x:v>-1.3930968679040177</x:v>
      </x:c>
      <x:c r="J78" s="39" t="n">
        <x:f>ABS(I78)</x:f>
        <x:v>1.3930968679040177</x:v>
      </x:c>
      <x:c r="K78" s="17" t="str">
        <x:f>IF(J78&lt;=0.35,"Close Alignment",IF(J78&lt;=0.85,"Moderate Gap","Large Gap"))</x:f>
        <x:v>Large Gap</x:v>
      </x:c>
    </x:row>
    <x:row r="79" ht="23" customHeight="1">
      <x:c r="A79" s="20" t="str">
        <x:v>case_06|creation</x:v>
      </x:c>
      <x:c r="B79" s="15" t="str">
        <x:v>case_06</x:v>
      </x:c>
      <x:c r="C79" s="15" t="str">
        <x:v>Faride Alidou</x:v>
      </x:c>
      <x:c r="D79" s="15" t="str">
        <x:v>1.FC Köln</x:v>
      </x:c>
      <x:c r="E79" s="15" t="str">
        <x:v>creation</x:v>
      </x:c>
      <x:c r="F79" s="15" t="str">
        <x:v>Creation</x:v>
      </x:c>
      <x:c r="G79" s="40" t="n">
        <x:v>2.195343165825188</x:v>
      </x:c>
      <x:c r="H79" s="40" t="n">
        <x:v>-0.0044351458198473</x:v>
      </x:c>
      <x:c r="I79" s="40" t="n">
        <x:f>G79-H79</x:f>
        <x:v>2.1997783116450353</x:v>
      </x:c>
      <x:c r="J79" s="40" t="n">
        <x:f>ABS(I79)</x:f>
        <x:v>2.1997783116450353</x:v>
      </x:c>
      <x:c r="K79" s="15" t="str">
        <x:f>IF(J79&lt;=0.35,"Close Alignment",IF(J79&lt;=0.85,"Moderate Gap","Large Gap"))</x:f>
        <x:v>Large Gap</x:v>
      </x:c>
    </x:row>
    <x:row r="80" ht="23" customHeight="1">
      <x:c r="A80" s="19" t="str">
        <x:v>case_06|defensive_intensity</x:v>
      </x:c>
      <x:c r="B80" s="17" t="str">
        <x:v>case_06</x:v>
      </x:c>
      <x:c r="C80" s="17" t="str">
        <x:v>Faride Alidou</x:v>
      </x:c>
      <x:c r="D80" s="17" t="str">
        <x:v>1.FC Köln</x:v>
      </x:c>
      <x:c r="E80" s="17" t="str">
        <x:v>defensive_intensity</x:v>
      </x:c>
      <x:c r="F80" s="17" t="str">
        <x:v>Defensive intensity</x:v>
      </x:c>
      <x:c r="G80" s="39" t="n">
        <x:v>0.5150448898928266</x:v>
      </x:c>
      <x:c r="H80" s="39" t="n">
        <x:v>0.0695355261190232</x:v>
      </x:c>
      <x:c r="I80" s="39" t="n">
        <x:f>G80-H80</x:f>
        <x:v>0.4455093637738034</x:v>
      </x:c>
      <x:c r="J80" s="39" t="n">
        <x:f>ABS(I80)</x:f>
        <x:v>0.4455093637738034</x:v>
      </x:c>
      <x:c r="K80" s="17" t="str">
        <x:f>IF(J80&lt;=0.35,"Close Alignment",IF(J80&lt;=0.85,"Moderate Gap","Large Gap"))</x:f>
        <x:v>Moderate Gap</x:v>
      </x:c>
    </x:row>
    <x:row r="81" ht="23" customHeight="1">
      <x:c r="A81" s="20" t="str">
        <x:v>case_06|directness</x:v>
      </x:c>
      <x:c r="B81" s="15" t="str">
        <x:v>case_06</x:v>
      </x:c>
      <x:c r="C81" s="15" t="str">
        <x:v>Faride Alidou</x:v>
      </x:c>
      <x:c r="D81" s="15" t="str">
        <x:v>1.FC Köln</x:v>
      </x:c>
      <x:c r="E81" s="15" t="str">
        <x:v>directness</x:v>
      </x:c>
      <x:c r="F81" s="15" t="str">
        <x:v>Directness</x:v>
      </x:c>
      <x:c r="G81" s="40" t="n">
        <x:v>-0.2435927307615329</x:v>
      </x:c>
      <x:c r="H81" s="40" t="n">
        <x:v>-0.0658014779137214</x:v>
      </x:c>
      <x:c r="I81" s="40" t="n">
        <x:f>G81-H81</x:f>
        <x:v>-0.1777912528478115</x:v>
      </x:c>
      <x:c r="J81" s="40" t="n">
        <x:f>ABS(I81)</x:f>
        <x:v>0.1777912528478115</x:v>
      </x:c>
      <x:c r="K81" s="15" t="str">
        <x:f>IF(J81&lt;=0.35,"Close Alignment",IF(J81&lt;=0.85,"Moderate Gap","Large Gap"))</x:f>
        <x:v>Close Alignment</x:v>
      </x:c>
    </x:row>
    <x:row r="82" ht="23" customHeight="1">
      <x:c r="A82" s="19" t="str">
        <x:v>case_06|dribble_aggression</x:v>
      </x:c>
      <x:c r="B82" s="17" t="str">
        <x:v>case_06</x:v>
      </x:c>
      <x:c r="C82" s="17" t="str">
        <x:v>Faride Alidou</x:v>
      </x:c>
      <x:c r="D82" s="17" t="str">
        <x:v>1.FC Köln</x:v>
      </x:c>
      <x:c r="E82" s="17" t="str">
        <x:v>dribble_aggression</x:v>
      </x:c>
      <x:c r="F82" s="17" t="str">
        <x:v>Dribble aggression</x:v>
      </x:c>
      <x:c r="G82" s="39" t="n">
        <x:v>1.6877696711116268</x:v>
      </x:c>
      <x:c r="H82" s="39" t="n">
        <x:v>-0.1209752155344464</x:v>
      </x:c>
      <x:c r="I82" s="39" t="n">
        <x:f>G82-H82</x:f>
        <x:v>1.8087448866460731</x:v>
      </x:c>
      <x:c r="J82" s="39" t="n">
        <x:f>ABS(I82)</x:f>
        <x:v>1.8087448866460731</x:v>
      </x:c>
      <x:c r="K82" s="17" t="str">
        <x:f>IF(J82&lt;=0.35,"Close Alignment",IF(J82&lt;=0.85,"Moderate Gap","Large Gap"))</x:f>
        <x:v>Large Gap</x:v>
      </x:c>
    </x:row>
    <x:row r="83" ht="23" customHeight="1">
      <x:c r="A83" s="20" t="str">
        <x:v>case_06|passing_control</x:v>
      </x:c>
      <x:c r="B83" s="15" t="str">
        <x:v>case_06</x:v>
      </x:c>
      <x:c r="C83" s="15" t="str">
        <x:v>Faride Alidou</x:v>
      </x:c>
      <x:c r="D83" s="15" t="str">
        <x:v>1.FC Köln</x:v>
      </x:c>
      <x:c r="E83" s="15" t="str">
        <x:v>passing_control</x:v>
      </x:c>
      <x:c r="F83" s="15" t="str">
        <x:v>Passing control</x:v>
      </x:c>
      <x:c r="G83" s="40" t="n">
        <x:v>-1.3261429611297917</x:v>
      </x:c>
      <x:c r="H83" s="40" t="n">
        <x:v>-0.183668027858376</x:v>
      </x:c>
      <x:c r="I83" s="40" t="n">
        <x:f>G83-H83</x:f>
        <x:v>-1.1424749332714157</x:v>
      </x:c>
      <x:c r="J83" s="40" t="n">
        <x:f>ABS(I83)</x:f>
        <x:v>1.1424749332714157</x:v>
      </x:c>
      <x:c r="K83" s="15" t="str">
        <x:f>IF(J83&lt;=0.35,"Close Alignment",IF(J83&lt;=0.85,"Moderate Gap","Large Gap"))</x:f>
        <x:v>Large Gap</x:v>
      </x:c>
    </x:row>
    <x:row r="84" ht="23" customHeight="1">
      <x:c r="A84" s="19" t="str">
        <x:v>case_06|progression</x:v>
      </x:c>
      <x:c r="B84" s="17" t="str">
        <x:v>case_06</x:v>
      </x:c>
      <x:c r="C84" s="17" t="str">
        <x:v>Faride Alidou</x:v>
      </x:c>
      <x:c r="D84" s="17" t="str">
        <x:v>1.FC Köln</x:v>
      </x:c>
      <x:c r="E84" s="17" t="str">
        <x:v>progression</x:v>
      </x:c>
      <x:c r="F84" s="17" t="str">
        <x:v>Progression</x:v>
      </x:c>
      <x:c r="G84" s="39" t="n">
        <x:v>1.4806233691056647</x:v>
      </x:c>
      <x:c r="H84" s="39" t="n">
        <x:v>-0.1051425390729677</x:v>
      </x:c>
      <x:c r="I84" s="39" t="n">
        <x:f>G84-H84</x:f>
        <x:v>1.5857659081786324</x:v>
      </x:c>
      <x:c r="J84" s="39" t="n">
        <x:f>ABS(I84)</x:f>
        <x:v>1.5857659081786324</x:v>
      </x:c>
      <x:c r="K84" s="17" t="str">
        <x:f>IF(J84&lt;=0.35,"Close Alignment",IF(J84&lt;=0.85,"Moderate Gap","Large Gap"))</x:f>
        <x:v>Large Gap</x:v>
      </x:c>
    </x:row>
    <x:row r="85" ht="23" customHeight="1">
      <x:c r="A85" s="20" t="str">
        <x:v>case_06|scoring_threat</x:v>
      </x:c>
      <x:c r="B85" s="15" t="str">
        <x:v>case_06</x:v>
      </x:c>
      <x:c r="C85" s="15" t="str">
        <x:v>Faride Alidou</x:v>
      </x:c>
      <x:c r="D85" s="15" t="str">
        <x:v>1.FC Köln</x:v>
      </x:c>
      <x:c r="E85" s="15" t="str">
        <x:v>scoring_threat</x:v>
      </x:c>
      <x:c r="F85" s="15" t="str">
        <x:v>Scoring threat</x:v>
      </x:c>
      <x:c r="G85" s="40" t="n">
        <x:v>-0.4222291297257246</x:v>
      </x:c>
      <x:c r="H85" s="40" t="n">
        <x:v>0.0957209001888813</x:v>
      </x:c>
      <x:c r="I85" s="40" t="n">
        <x:f>G85-H85</x:f>
        <x:v>-0.5179500299146058</x:v>
      </x:c>
      <x:c r="J85" s="40" t="n">
        <x:f>ABS(I85)</x:f>
        <x:v>0.5179500299146058</x:v>
      </x:c>
      <x:c r="K85" s="15" t="str">
        <x:f>IF(J85&lt;=0.35,"Close Alignment",IF(J85&lt;=0.85,"Moderate Gap","Large Gap"))</x:f>
        <x:v>Moderate Gap</x:v>
      </x:c>
    </x:row>
    <x:row r="86" ht="23" customHeight="1">
      <x:c r="A86" s="19" t="str">
        <x:v>case_03|aerial_physicality</x:v>
      </x:c>
      <x:c r="B86" s="17" t="str">
        <x:v>case_03</x:v>
      </x:c>
      <x:c r="C86" s="17" t="str">
        <x:v>Jorge Meré</x:v>
      </x:c>
      <x:c r="D86" s="17" t="str">
        <x:v>Cádiz CF</x:v>
      </x:c>
      <x:c r="E86" s="17" t="str">
        <x:v>aerial_physicality</x:v>
      </x:c>
      <x:c r="F86" s="17" t="str">
        <x:v>Aerial physicality</x:v>
      </x:c>
      <x:c r="G86" s="39" t="n">
        <x:v>0.5387432150859132</x:v>
      </x:c>
      <x:c r="H86" s="39" t="n">
        <x:v>0.1999650232965876</x:v>
      </x:c>
      <x:c r="I86" s="39" t="n">
        <x:f>G86-H86</x:f>
        <x:v>0.33877819178932556</x:v>
      </x:c>
      <x:c r="J86" s="39" t="n">
        <x:f>ABS(I86)</x:f>
        <x:v>0.33877819178932556</x:v>
      </x:c>
      <x:c r="K86" s="17" t="str">
        <x:f>IF(J86&lt;=0.35,"Close Alignment",IF(J86&lt;=0.85,"Moderate Gap","Large Gap"))</x:f>
        <x:v>Close Alignment</x:v>
      </x:c>
    </x:row>
    <x:row r="87" ht="23" customHeight="1">
      <x:c r="A87" s="20" t="str">
        <x:v>case_03|creation</x:v>
      </x:c>
      <x:c r="B87" s="15" t="str">
        <x:v>case_03</x:v>
      </x:c>
      <x:c r="C87" s="15" t="str">
        <x:v>Jorge Meré</x:v>
      </x:c>
      <x:c r="D87" s="15" t="str">
        <x:v>Cádiz CF</x:v>
      </x:c>
      <x:c r="E87" s="15" t="str">
        <x:v>creation</x:v>
      </x:c>
      <x:c r="F87" s="15" t="str">
        <x:v>Creation</x:v>
      </x:c>
      <x:c r="G87" s="40" t="n">
        <x:v>-0.5419477440506013</x:v>
      </x:c>
      <x:c r="H87" s="40" t="n">
        <x:v>-0.2581432618947072</x:v>
      </x:c>
      <x:c r="I87" s="40" t="n">
        <x:f>G87-H87</x:f>
        <x:v>-0.2838044821558941</x:v>
      </x:c>
      <x:c r="J87" s="40" t="n">
        <x:f>ABS(I87)</x:f>
        <x:v>0.2838044821558941</x:v>
      </x:c>
      <x:c r="K87" s="15" t="str">
        <x:f>IF(J87&lt;=0.35,"Close Alignment",IF(J87&lt;=0.85,"Moderate Gap","Large Gap"))</x:f>
        <x:v>Close Alignment</x:v>
      </x:c>
    </x:row>
    <x:row r="88" ht="23" customHeight="1">
      <x:c r="A88" s="19" t="str">
        <x:v>case_03|defensive_intensity</x:v>
      </x:c>
      <x:c r="B88" s="17" t="str">
        <x:v>case_03</x:v>
      </x:c>
      <x:c r="C88" s="17" t="str">
        <x:v>Jorge Meré</x:v>
      </x:c>
      <x:c r="D88" s="17" t="str">
        <x:v>Cádiz CF</x:v>
      </x:c>
      <x:c r="E88" s="17" t="str">
        <x:v>defensive_intensity</x:v>
      </x:c>
      <x:c r="F88" s="17" t="str">
        <x:v>Defensive intensity</x:v>
      </x:c>
      <x:c r="G88" s="39" t="n">
        <x:v>-0.2095365530438313</x:v>
      </x:c>
      <x:c r="H88" s="39" t="n">
        <x:v>-0.1221286263281272</x:v>
      </x:c>
      <x:c r="I88" s="39" t="n">
        <x:f>G88-H88</x:f>
        <x:v>-0.08740792671570409</x:v>
      </x:c>
      <x:c r="J88" s="39" t="n">
        <x:f>ABS(I88)</x:f>
        <x:v>0.08740792671570409</x:v>
      </x:c>
      <x:c r="K88" s="17" t="str">
        <x:f>IF(J88&lt;=0.35,"Close Alignment",IF(J88&lt;=0.85,"Moderate Gap","Large Gap"))</x:f>
        <x:v>Close Alignment</x:v>
      </x:c>
    </x:row>
    <x:row r="89" ht="23" customHeight="1">
      <x:c r="A89" s="20" t="str">
        <x:v>case_03|directness</x:v>
      </x:c>
      <x:c r="B89" s="15" t="str">
        <x:v>case_03</x:v>
      </x:c>
      <x:c r="C89" s="15" t="str">
        <x:v>Jorge Meré</x:v>
      </x:c>
      <x:c r="D89" s="15" t="str">
        <x:v>Cádiz CF</x:v>
      </x:c>
      <x:c r="E89" s="15" t="str">
        <x:v>directness</x:v>
      </x:c>
      <x:c r="F89" s="15" t="str">
        <x:v>Directness</x:v>
      </x:c>
      <x:c r="G89" s="40" t="n">
        <x:v>-0.387787314130911</x:v>
      </x:c>
      <x:c r="H89" s="40" t="n">
        <x:v>-0.4073533023810933</x:v>
      </x:c>
      <x:c r="I89" s="40" t="n">
        <x:f>G89-H89</x:f>
        <x:v>0.019565988250182298</x:v>
      </x:c>
      <x:c r="J89" s="40" t="n">
        <x:f>ABS(I89)</x:f>
        <x:v>0.019565988250182298</x:v>
      </x:c>
      <x:c r="K89" s="15" t="str">
        <x:f>IF(J89&lt;=0.35,"Close Alignment",IF(J89&lt;=0.85,"Moderate Gap","Large Gap"))</x:f>
        <x:v>Close Alignment</x:v>
      </x:c>
    </x:row>
    <x:row r="90" ht="23" customHeight="1">
      <x:c r="A90" s="19" t="str">
        <x:v>case_03|dribble_aggression</x:v>
      </x:c>
      <x:c r="B90" s="17" t="str">
        <x:v>case_03</x:v>
      </x:c>
      <x:c r="C90" s="17" t="str">
        <x:v>Jorge Meré</x:v>
      </x:c>
      <x:c r="D90" s="17" t="str">
        <x:v>Cádiz CF</x:v>
      </x:c>
      <x:c r="E90" s="17" t="str">
        <x:v>dribble_aggression</x:v>
      </x:c>
      <x:c r="F90" s="17" t="str">
        <x:v>Dribble aggression</x:v>
      </x:c>
      <x:c r="G90" s="39" t="n">
        <x:v>-0.5493010844861486</x:v>
      </x:c>
      <x:c r="H90" s="39" t="n">
        <x:v>-0.2541716275563768</x:v>
      </x:c>
      <x:c r="I90" s="39" t="n">
        <x:f>G90-H90</x:f>
        <x:v>-0.29512945692977177</x:v>
      </x:c>
      <x:c r="J90" s="39" t="n">
        <x:f>ABS(I90)</x:f>
        <x:v>0.29512945692977177</x:v>
      </x:c>
      <x:c r="K90" s="17" t="str">
        <x:f>IF(J90&lt;=0.35,"Close Alignment",IF(J90&lt;=0.85,"Moderate Gap","Large Gap"))</x:f>
        <x:v>Close Alignment</x:v>
      </x:c>
    </x:row>
    <x:row r="91" ht="23" customHeight="1">
      <x:c r="A91" s="20" t="str">
        <x:v>case_03|passing_control</x:v>
      </x:c>
      <x:c r="B91" s="15" t="str">
        <x:v>case_03</x:v>
      </x:c>
      <x:c r="C91" s="15" t="str">
        <x:v>Jorge Meré</x:v>
      </x:c>
      <x:c r="D91" s="15" t="str">
        <x:v>Cádiz CF</x:v>
      </x:c>
      <x:c r="E91" s="15" t="str">
        <x:v>passing_control</x:v>
      </x:c>
      <x:c r="F91" s="15" t="str">
        <x:v>Passing control</x:v>
      </x:c>
      <x:c r="G91" s="40" t="n">
        <x:v>0.1828739694842276</x:v>
      </x:c>
      <x:c r="H91" s="40" t="n">
        <x:v>-0.486456928951534</x:v>
      </x:c>
      <x:c r="I91" s="40" t="n">
        <x:f>G91-H91</x:f>
        <x:v>0.6693308984357615</x:v>
      </x:c>
      <x:c r="J91" s="40" t="n">
        <x:f>ABS(I91)</x:f>
        <x:v>0.6693308984357615</x:v>
      </x:c>
      <x:c r="K91" s="15" t="str">
        <x:f>IF(J91&lt;=0.35,"Close Alignment",IF(J91&lt;=0.85,"Moderate Gap","Large Gap"))</x:f>
        <x:v>Moderate Gap</x:v>
      </x:c>
    </x:row>
    <x:row r="92" ht="23" customHeight="1">
      <x:c r="A92" s="19" t="str">
        <x:v>case_03|progression</x:v>
      </x:c>
      <x:c r="B92" s="17" t="str">
        <x:v>case_03</x:v>
      </x:c>
      <x:c r="C92" s="17" t="str">
        <x:v>Jorge Meré</x:v>
      </x:c>
      <x:c r="D92" s="17" t="str">
        <x:v>Cádiz CF</x:v>
      </x:c>
      <x:c r="E92" s="17" t="str">
        <x:v>progression</x:v>
      </x:c>
      <x:c r="F92" s="17" t="str">
        <x:v>Progression</x:v>
      </x:c>
      <x:c r="G92" s="39" t="n">
        <x:v>-0.6204218841995724</x:v>
      </x:c>
      <x:c r="H92" s="39" t="n">
        <x:v>-0.4217674614391211</x:v>
      </x:c>
      <x:c r="I92" s="39" t="n">
        <x:f>G92-H92</x:f>
        <x:v>-0.19865442276045137</x:v>
      </x:c>
      <x:c r="J92" s="39" t="n">
        <x:f>ABS(I92)</x:f>
        <x:v>0.19865442276045137</x:v>
      </x:c>
      <x:c r="K92" s="17" t="str">
        <x:f>IF(J92&lt;=0.35,"Close Alignment",IF(J92&lt;=0.85,"Moderate Gap","Large Gap"))</x:f>
        <x:v>Close Alignment</x:v>
      </x:c>
    </x:row>
    <x:row r="93" ht="23" customHeight="1">
      <x:c r="A93" s="20" t="str">
        <x:v>case_03|scoring_threat</x:v>
      </x:c>
      <x:c r="B93" s="15" t="str">
        <x:v>case_03</x:v>
      </x:c>
      <x:c r="C93" s="15" t="str">
        <x:v>Jorge Meré</x:v>
      </x:c>
      <x:c r="D93" s="15" t="str">
        <x:v>Cádiz CF</x:v>
      </x:c>
      <x:c r="E93" s="15" t="str">
        <x:v>scoring_threat</x:v>
      </x:c>
      <x:c r="F93" s="15" t="str">
        <x:v>Scoring threat</x:v>
      </x:c>
      <x:c r="G93" s="40" t="n">
        <x:v>-0.5622830202989663</x:v>
      </x:c>
      <x:c r="H93" s="40" t="n">
        <x:v>-0.2046735879927542</x:v>
      </x:c>
      <x:c r="I93" s="40" t="n">
        <x:f>G93-H93</x:f>
        <x:v>-0.35760943230621206</x:v>
      </x:c>
      <x:c r="J93" s="40" t="n">
        <x:f>ABS(I93)</x:f>
        <x:v>0.35760943230621206</x:v>
      </x:c>
      <x:c r="K93" s="15" t="str">
        <x:f>IF(J93&lt;=0.35,"Close Alignment",IF(J93&lt;=0.85,"Moderate Gap","Large Gap"))</x:f>
        <x:v>Moderate Gap</x:v>
      </x:c>
    </x:row>
    <x:row r="94" ht="23" customHeight="1">
      <x:c r="A94" s="19" t="str">
        <x:v>case_07|aerial_physicality</x:v>
      </x:c>
      <x:c r="B94" s="17" t="str">
        <x:v>case_07</x:v>
      </x:c>
      <x:c r="C94" s="17" t="str">
        <x:v>Oriol Romeu</x:v>
      </x:c>
      <x:c r="D94" s="17" t="str">
        <x:v>FC Barcelona</x:v>
      </x:c>
      <x:c r="E94" s="17" t="str">
        <x:v>aerial_physicality</x:v>
      </x:c>
      <x:c r="F94" s="17" t="str">
        <x:v>Aerial physicality</x:v>
      </x:c>
      <x:c r="G94" s="39" t="n">
        <x:v>0.4909804183074212</x:v>
      </x:c>
      <x:c r="H94" s="39" t="n">
        <x:v>-0.0106040472682245</x:v>
      </x:c>
      <x:c r="I94" s="39" t="n">
        <x:f>G94-H94</x:f>
        <x:v>0.5015844655756456</x:v>
      </x:c>
      <x:c r="J94" s="39" t="n">
        <x:f>ABS(I94)</x:f>
        <x:v>0.5015844655756456</x:v>
      </x:c>
      <x:c r="K94" s="17" t="str">
        <x:f>IF(J94&lt;=0.35,"Close Alignment",IF(J94&lt;=0.85,"Moderate Gap","Large Gap"))</x:f>
        <x:v>Moderate Gap</x:v>
      </x:c>
    </x:row>
    <x:row r="95" ht="23" customHeight="1">
      <x:c r="A95" s="20" t="str">
        <x:v>case_07|creation</x:v>
      </x:c>
      <x:c r="B95" s="15" t="str">
        <x:v>case_07</x:v>
      </x:c>
      <x:c r="C95" s="15" t="str">
        <x:v>Oriol Romeu</x:v>
      </x:c>
      <x:c r="D95" s="15" t="str">
        <x:v>FC Barcelona</x:v>
      </x:c>
      <x:c r="E95" s="15" t="str">
        <x:v>creation</x:v>
      </x:c>
      <x:c r="F95" s="15" t="str">
        <x:v>Creation</x:v>
      </x:c>
      <x:c r="G95" s="40" t="n">
        <x:v>-0.3369850118501913</x:v>
      </x:c>
      <x:c r="H95" s="40" t="n">
        <x:v>0.3577256317651239</x:v>
      </x:c>
      <x:c r="I95" s="40" t="n">
        <x:f>G95-H95</x:f>
        <x:v>-0.6947106436153152</x:v>
      </x:c>
      <x:c r="J95" s="40" t="n">
        <x:f>ABS(I95)</x:f>
        <x:v>0.6947106436153152</x:v>
      </x:c>
      <x:c r="K95" s="15" t="str">
        <x:f>IF(J95&lt;=0.35,"Close Alignment",IF(J95&lt;=0.85,"Moderate Gap","Large Gap"))</x:f>
        <x:v>Moderate Gap</x:v>
      </x:c>
    </x:row>
    <x:row r="96" ht="23" customHeight="1">
      <x:c r="A96" s="19" t="str">
        <x:v>case_07|defensive_intensity</x:v>
      </x:c>
      <x:c r="B96" s="17" t="str">
        <x:v>case_07</x:v>
      </x:c>
      <x:c r="C96" s="17" t="str">
        <x:v>Oriol Romeu</x:v>
      </x:c>
      <x:c r="D96" s="17" t="str">
        <x:v>FC Barcelona</x:v>
      </x:c>
      <x:c r="E96" s="17" t="str">
        <x:v>defensive_intensity</x:v>
      </x:c>
      <x:c r="F96" s="17" t="str">
        <x:v>Defensive intensity</x:v>
      </x:c>
      <x:c r="G96" s="39" t="n">
        <x:v>0.3166317958075887</x:v>
      </x:c>
      <x:c r="H96" s="39" t="n">
        <x:v>-0.2570813134078354</x:v>
      </x:c>
      <x:c r="I96" s="39" t="n">
        <x:f>G96-H96</x:f>
        <x:v>0.5737131092154242</x:v>
      </x:c>
      <x:c r="J96" s="39" t="n">
        <x:f>ABS(I96)</x:f>
        <x:v>0.5737131092154242</x:v>
      </x:c>
      <x:c r="K96" s="17" t="str">
        <x:f>IF(J96&lt;=0.35,"Close Alignment",IF(J96&lt;=0.85,"Moderate Gap","Large Gap"))</x:f>
        <x:v>Moderate Gap</x:v>
      </x:c>
    </x:row>
    <x:row r="97" ht="23" customHeight="1">
      <x:c r="A97" s="20" t="str">
        <x:v>case_07|directness</x:v>
      </x:c>
      <x:c r="B97" s="15" t="str">
        <x:v>case_07</x:v>
      </x:c>
      <x:c r="C97" s="15" t="str">
        <x:v>Oriol Romeu</x:v>
      </x:c>
      <x:c r="D97" s="15" t="str">
        <x:v>FC Barcelona</x:v>
      </x:c>
      <x:c r="E97" s="15" t="str">
        <x:v>directness</x:v>
      </x:c>
      <x:c r="F97" s="15" t="str">
        <x:v>Directness</x:v>
      </x:c>
      <x:c r="G97" s="40" t="n">
        <x:v>-0.0025454020553923</x:v>
      </x:c>
      <x:c r="H97" s="40" t="n">
        <x:v>0.6096659611383665</x:v>
      </x:c>
      <x:c r="I97" s="40" t="n">
        <x:f>G97-H97</x:f>
        <x:v>-0.6122113631937588</x:v>
      </x:c>
      <x:c r="J97" s="40" t="n">
        <x:f>ABS(I97)</x:f>
        <x:v>0.6122113631937588</x:v>
      </x:c>
      <x:c r="K97" s="15" t="str">
        <x:f>IF(J97&lt;=0.35,"Close Alignment",IF(J97&lt;=0.85,"Moderate Gap","Large Gap"))</x:f>
        <x:v>Moderate Gap</x:v>
      </x:c>
    </x:row>
    <x:row r="98" ht="23" customHeight="1">
      <x:c r="A98" s="19" t="str">
        <x:v>case_07|dribble_aggression</x:v>
      </x:c>
      <x:c r="B98" s="17" t="str">
        <x:v>case_07</x:v>
      </x:c>
      <x:c r="C98" s="17" t="str">
        <x:v>Oriol Romeu</x:v>
      </x:c>
      <x:c r="D98" s="17" t="str">
        <x:v>FC Barcelona</x:v>
      </x:c>
      <x:c r="E98" s="17" t="str">
        <x:v>dribble_aggression</x:v>
      </x:c>
      <x:c r="F98" s="17" t="str">
        <x:v>Dribble aggression</x:v>
      </x:c>
      <x:c r="G98" s="39" t="n">
        <x:v>-0.4651354932099906</x:v>
      </x:c>
      <x:c r="H98" s="39" t="n">
        <x:v>0.1187298151478059</x:v>
      </x:c>
      <x:c r="I98" s="39" t="n">
        <x:f>G98-H98</x:f>
        <x:v>-0.5838653083577965</x:v>
      </x:c>
      <x:c r="J98" s="39" t="n">
        <x:f>ABS(I98)</x:f>
        <x:v>0.5838653083577965</x:v>
      </x:c>
      <x:c r="K98" s="17" t="str">
        <x:f>IF(J98&lt;=0.35,"Close Alignment",IF(J98&lt;=0.85,"Moderate Gap","Large Gap"))</x:f>
        <x:v>Moderate Gap</x:v>
      </x:c>
    </x:row>
    <x:row r="99" ht="23" customHeight="1">
      <x:c r="A99" s="20" t="str">
        <x:v>case_07|passing_control</x:v>
      </x:c>
      <x:c r="B99" s="15" t="str">
        <x:v>case_07</x:v>
      </x:c>
      <x:c r="C99" s="15" t="str">
        <x:v>Oriol Romeu</x:v>
      </x:c>
      <x:c r="D99" s="15" t="str">
        <x:v>FC Barcelona</x:v>
      </x:c>
      <x:c r="E99" s="15" t="str">
        <x:v>passing_control</x:v>
      </x:c>
      <x:c r="F99" s="15" t="str">
        <x:v>Passing control</x:v>
      </x:c>
      <x:c r="G99" s="40" t="n">
        <x:v>0.481452806456993</x:v>
      </x:c>
      <x:c r="H99" s="40" t="n">
        <x:v>0.7870980255943533</x:v>
      </x:c>
      <x:c r="I99" s="40" t="n">
        <x:f>G99-H99</x:f>
        <x:v>-0.30564521913736026</x:v>
      </x:c>
      <x:c r="J99" s="40" t="n">
        <x:f>ABS(I99)</x:f>
        <x:v>0.30564521913736026</x:v>
      </x:c>
      <x:c r="K99" s="15" t="str">
        <x:f>IF(J99&lt;=0.35,"Close Alignment",IF(J99&lt;=0.85,"Moderate Gap","Large Gap"))</x:f>
        <x:v>Close Alignment</x:v>
      </x:c>
    </x:row>
    <x:row r="100" ht="23" customHeight="1">
      <x:c r="A100" s="19" t="str">
        <x:v>case_07|progression</x:v>
      </x:c>
      <x:c r="B100" s="17" t="str">
        <x:v>case_07</x:v>
      </x:c>
      <x:c r="C100" s="17" t="str">
        <x:v>Oriol Romeu</x:v>
      </x:c>
      <x:c r="D100" s="17" t="str">
        <x:v>FC Barcelona</x:v>
      </x:c>
      <x:c r="E100" s="17" t="str">
        <x:v>progression</x:v>
      </x:c>
      <x:c r="F100" s="17" t="str">
        <x:v>Progression</x:v>
      </x:c>
      <x:c r="G100" s="39" t="n">
        <x:v>-0.1548527042391861</x:v>
      </x:c>
      <x:c r="H100" s="39" t="n">
        <x:v>0.7809476215867202</x:v>
      </x:c>
      <x:c r="I100" s="39" t="n">
        <x:f>G100-H100</x:f>
        <x:v>-0.9358003258259062</x:v>
      </x:c>
      <x:c r="J100" s="39" t="n">
        <x:f>ABS(I100)</x:f>
        <x:v>0.9358003258259062</x:v>
      </x:c>
      <x:c r="K100" s="17" t="str">
        <x:f>IF(J100&lt;=0.35,"Close Alignment",IF(J100&lt;=0.85,"Moderate Gap","Large Gap"))</x:f>
        <x:v>Large Gap</x:v>
      </x:c>
    </x:row>
    <x:row r="101" ht="23" customHeight="1">
      <x:c r="A101" s="20" t="str">
        <x:v>case_07|scoring_threat</x:v>
      </x:c>
      <x:c r="B101" s="15" t="str">
        <x:v>case_07</x:v>
      </x:c>
      <x:c r="C101" s="15" t="str">
        <x:v>Oriol Romeu</x:v>
      </x:c>
      <x:c r="D101" s="15" t="str">
        <x:v>FC Barcelona</x:v>
      </x:c>
      <x:c r="E101" s="15" t="str">
        <x:v>scoring_threat</x:v>
      </x:c>
      <x:c r="F101" s="15" t="str">
        <x:v>Scoring threat</x:v>
      </x:c>
      <x:c r="G101" s="40" t="n">
        <x:v>-0.3733889776464499</x:v>
      </x:c>
      <x:c r="H101" s="40" t="n">
        <x:v>0.242989844798439</x:v>
      </x:c>
      <x:c r="I101" s="40" t="n">
        <x:f>G101-H101</x:f>
        <x:v>-0.616378822444889</x:v>
      </x:c>
      <x:c r="J101" s="40" t="n">
        <x:f>ABS(I101)</x:f>
        <x:v>0.616378822444889</x:v>
      </x:c>
      <x:c r="K101" s="15" t="str">
        <x:f>IF(J101&lt;=0.35,"Close Alignment",IF(J101&lt;=0.85,"Moderate Gap","Large Gap"))</x:f>
        <x:v>Moderate Gap</x:v>
      </x:c>
    </x:row>
  </x:sheetData>
  <x:mergeCells>
    <x:mergeCell ref="A1:K2"/>
    <x:mergeCell ref="A3:K3"/>
  </x:mergeCells>
  <x:conditionalFormatting sqref="J6:J10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76ddff4a0c142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24" hidden="0" customWidth="1"/>
    <x:col min="7" max="7" width="23" hidden="0" customWidth="1"/>
    <x:col min="8" max="8" width="20" hidden="0" customWidth="1"/>
    <x:col min="9" max="9" width="28" hidden="0" customWidth="1"/>
    <x:col min="10" max="10" width="24" hidden="0" customWidth="1"/>
    <x:col min="11" max="11" width="20" hidden="0" customWidth="1"/>
    <x:col min="12" max="12" width="19" hidden="0" customWidth="1"/>
    <x:col min="13" max="13" width="17" hidden="0" customWidth="1"/>
    <x:col min="14" max="14" width="31" hidden="0" customWidth="1"/>
  </x:cols>
  <x:sheetData>
    <x:row r="1" ht="23" customHeight="1">
      <x:c r="A1" s="3" t="str">
        <x:v>Historical teammate-context preferences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Destination context is prior-season only. Historical slopes are shrunk toward zero; distances and interactions recalculate in-sheet.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A5" s="14" t="str">
        <x:v>Lookup Key</x:v>
      </x:c>
      <x:c r="B5" s="14" t="str">
        <x:v>Case ID</x:v>
      </x:c>
      <x:c r="C5" s="14" t="str">
        <x:v>Player</x:v>
      </x:c>
      <x:c r="D5" s="14" t="str">
        <x:v>Destination</x:v>
      </x:c>
      <x:c r="E5" s="14" t="str">
        <x:v>Context Dimension</x:v>
      </x:c>
      <x:c r="F5" s="14" t="str">
        <x:v>Context Label</x:v>
      </x:c>
      <x:c r="G5" s="14" t="str">
        <x:v>Destination Prior Context z</x:v>
      </x:c>
      <x:c r="H5" s="14" t="str">
        <x:v>Historical Exposure z</x:v>
      </x:c>
      <x:c r="I5" s="14" t="str">
        <x:v>Performance-Weighted Preferred z</x:v>
      </x:c>
      <x:c r="J5" s="14" t="str">
        <x:v>Shrunken Performance Slope</x:v>
      </x:c>
      <x:c r="K5" s="14" t="str">
        <x:v>Familiarity Distance</x:v>
      </x:c>
      <x:c r="L5" s="14" t="str">
        <x:v>Preference Distance</x:v>
      </x:c>
      <x:c r="M5" s="14" t="str">
        <x:v>Context × Slope</x:v>
      </x:c>
      <x:c r="N5" s="14" t="str">
        <x:v>Historical Direction</x:v>
      </x:c>
    </x:row>
    <x:row r="6" ht="23" customHeight="1">
      <x:c r="A6" s="19" t="str">
        <x:v>case_01|defensive_intensity</x:v>
      </x:c>
      <x:c r="B6" s="17" t="str">
        <x:v>case_01</x:v>
      </x:c>
      <x:c r="C6" s="17" t="str">
        <x:v>Craig Dawson</x:v>
      </x:c>
      <x:c r="D6" s="17" t="str">
        <x:v>West Ham United</x:v>
      </x:c>
      <x:c r="E6" s="17" t="str">
        <x:v>defensive_intensity</x:v>
      </x:c>
      <x:c r="F6" s="17" t="str">
        <x:v>Defensive intensity</x:v>
      </x:c>
      <x:c r="G6" s="39" t="n">
        <x:v>-0.1722660184721363</x:v>
      </x:c>
      <x:c r="H6" s="39" t="n">
        <x:v>-0.141635936017972</x:v>
      </x:c>
      <x:c r="I6" s="39" t="n">
        <x:v>-0.1418154848774593</x:v>
      </x:c>
      <x:c r="J6" s="35" t="n">
        <x:v>-0.0953093344871158</x:v>
      </x:c>
      <x:c r="K6" s="39" t="n">
        <x:f>IFERROR(ABS(G6-H6),"")</x:f>
        <x:v>0.030630082454164292</x:v>
      </x:c>
      <x:c r="L6" s="39" t="n">
        <x:f>IFERROR(ABS(G6-I6),"")</x:f>
        <x:v>0.030450533594677004</x:v>
      </x:c>
      <x:c r="M6" s="35" t="n">
        <x:f>IFERROR(G6*J6,"")</x:f>
        <x:v>0.016418559575324506</x:v>
      </x:c>
      <x:c r="N6" s="19" t="str">
        <x:f>IF(ABS(J6)&lt;=0.05,"Weak or Uncertain History",IF(J6&gt;0,"Historically Better With More","Historically Better With Less"))</x:f>
        <x:v>Historically Better With Less</x:v>
      </x:c>
    </x:row>
    <x:row r="7" ht="23" customHeight="1">
      <x:c r="A7" s="20" t="str">
        <x:v>case_01|forward_mobility</x:v>
      </x:c>
      <x:c r="B7" s="15" t="str">
        <x:v>case_01</x:v>
      </x:c>
      <x:c r="C7" s="15" t="str">
        <x:v>Craig Dawson</x:v>
      </x:c>
      <x:c r="D7" s="15" t="str">
        <x:v>West Ham United</x:v>
      </x:c>
      <x:c r="E7" s="15" t="str">
        <x:v>forward_mobility</x:v>
      </x:c>
      <x:c r="F7" s="15" t="str">
        <x:v>Forward mobility</x:v>
      </x:c>
      <x:c r="G7" s="40" t="n">
        <x:v>0.0528626935024922</x:v>
      </x:c>
      <x:c r="H7" s="40" t="n">
        <x:v>-0.0734154283470767</x:v>
      </x:c>
      <x:c r="I7" s="40" t="n">
        <x:v>-0.0771751571262236</x:v>
      </x:c>
      <x:c r="J7" s="36" t="n">
        <x:v>-0.1897831200557554</x:v>
      </x:c>
      <x:c r="K7" s="40" t="n">
        <x:f>IFERROR(ABS(G7-H7),"")</x:f>
        <x:v>0.1262781218495689</x:v>
      </x:c>
      <x:c r="L7" s="40" t="n">
        <x:f>IFERROR(ABS(G7-I7),"")</x:f>
        <x:v>0.1300378506287158</x:v>
      </x:c>
      <x:c r="M7" s="36" t="n">
        <x:f>IFERROR(G7*J7,"")</x:f>
        <x:v>-0.01003244690745408</x:v>
      </x:c>
      <x:c r="N7" s="20" t="str">
        <x:f>IF(ABS(J7)&lt;=0.05,"Weak or Uncertain History",IF(J7&gt;0,"Historically Better With More","Historically Better With Less"))</x:f>
        <x:v>Historically Better With Less</x:v>
      </x:c>
    </x:row>
    <x:row r="8" ht="23" customHeight="1">
      <x:c r="A8" s="19" t="str">
        <x:v>case_01|forward_threat</x:v>
      </x:c>
      <x:c r="B8" s="17" t="str">
        <x:v>case_01</x:v>
      </x:c>
      <x:c r="C8" s="17" t="str">
        <x:v>Craig Dawson</x:v>
      </x:c>
      <x:c r="D8" s="17" t="str">
        <x:v>West Ham United</x:v>
      </x:c>
      <x:c r="E8" s="17" t="str">
        <x:v>forward_threat</x:v>
      </x:c>
      <x:c r="F8" s="17" t="str">
        <x:v>Forward threat</x:v>
      </x:c>
      <x:c r="G8" s="39" t="n">
        <x:v>-0.0749977113124228</x:v>
      </x:c>
      <x:c r="H8" s="39" t="n">
        <x:v>-0.2024408536857652</x:v>
      </x:c>
      <x:c r="I8" s="39" t="n">
        <x:v>-0.2039280930234721</x:v>
      </x:c>
      <x:c r="J8" s="35" t="n">
        <x:v>-0.2180392134837557</x:v>
      </x:c>
      <x:c r="K8" s="39" t="n">
        <x:f>IFERROR(ABS(G8-H8),"")</x:f>
        <x:v>0.1274431423733424</x:v>
      </x:c>
      <x:c r="L8" s="39" t="n">
        <x:f>IFERROR(ABS(G8-I8),"")</x:f>
        <x:v>0.12893038171104929</x:v>
      </x:c>
      <x:c r="M8" s="35" t="n">
        <x:f>IFERROR(G8*J8,"")</x:f>
        <x:v>0.016352441987642435</x:v>
      </x:c>
      <x:c r="N8" s="19" t="str">
        <x:f>IF(ABS(J8)&lt;=0.05,"Weak or Uncertain History",IF(J8&gt;0,"Historically Better With More","Historically Better With Less"))</x:f>
        <x:v>Historically Better With Less</x:v>
      </x:c>
    </x:row>
    <x:row r="9" ht="23" customHeight="1">
      <x:c r="A9" s="20" t="str">
        <x:v>case_01|midfield_aggression</x:v>
      </x:c>
      <x:c r="B9" s="15" t="str">
        <x:v>case_01</x:v>
      </x:c>
      <x:c r="C9" s="15" t="str">
        <x:v>Craig Dawson</x:v>
      </x:c>
      <x:c r="D9" s="15" t="str">
        <x:v>West Ham United</x:v>
      </x:c>
      <x:c r="E9" s="15" t="str">
        <x:v>midfield_aggression</x:v>
      </x:c>
      <x:c r="F9" s="15" t="str">
        <x:v>Midfield aggression</x:v>
      </x:c>
      <x:c r="G9" s="40" t="n">
        <x:v>0.069839609339313</x:v>
      </x:c>
      <x:c r="H9" s="40" t="n">
        <x:v>-0.1847131791414143</x:v>
      </x:c>
      <x:c r="I9" s="40" t="n">
        <x:v>-0.1879703674856101</x:v>
      </x:c>
      <x:c r="J9" s="36" t="n">
        <x:v>-0.1246702028422414</x:v>
      </x:c>
      <x:c r="K9" s="40" t="n">
        <x:f>IFERROR(ABS(G9-H9),"")</x:f>
        <x:v>0.2545527884807273</x:v>
      </x:c>
      <x:c r="L9" s="40" t="n">
        <x:f>IFERROR(ABS(G9-I9),"")</x:f>
        <x:v>0.2578099768249231</x:v>
      </x:c>
      <x:c r="M9" s="36" t="n">
        <x:f>IFERROR(G9*J9,"")</x:f>
        <x:v>-0.00870691826275505</x:v>
      </x:c>
      <x:c r="N9" s="20" t="str">
        <x:f>IF(ABS(J9)&lt;=0.05,"Weak or Uncertain History",IF(J9&gt;0,"Historically Better With More","Historically Better With Less"))</x:f>
        <x:v>Historically Better With Less</x:v>
      </x:c>
    </x:row>
    <x:row r="10" ht="23" customHeight="1">
      <x:c r="A10" s="19" t="str">
        <x:v>case_01|midfield_creativity</x:v>
      </x:c>
      <x:c r="B10" s="17" t="str">
        <x:v>case_01</x:v>
      </x:c>
      <x:c r="C10" s="17" t="str">
        <x:v>Craig Dawson</x:v>
      </x:c>
      <x:c r="D10" s="17" t="str">
        <x:v>West Ham United</x:v>
      </x:c>
      <x:c r="E10" s="17" t="str">
        <x:v>midfield_creativity</x:v>
      </x:c>
      <x:c r="F10" s="17" t="str">
        <x:v>Midfield creativity</x:v>
      </x:c>
      <x:c r="G10" s="39" t="n">
        <x:v>-0.1985187995506534</x:v>
      </x:c>
      <x:c r="H10" s="39" t="n">
        <x:v>-0.2012422219934005</x:v>
      </x:c>
      <x:c r="I10" s="39" t="n">
        <x:v>-0.2009041704849825</x:v>
      </x:c>
      <x:c r="J10" s="35" t="n">
        <x:v>0.6482198987663959</x:v>
      </x:c>
      <x:c r="K10" s="39" t="n">
        <x:f>IFERROR(ABS(G10-H10),"")</x:f>
        <x:v>0.002723422442747092</x:v>
      </x:c>
      <x:c r="L10" s="39" t="n">
        <x:f>IFERROR(ABS(G10-I10),"")</x:f>
        <x:v>0.002385370934329084</x:v>
      </x:c>
      <x:c r="M10" s="35" t="n">
        <x:f>IFERROR(G10*J10,"")</x:f>
        <x:v>-0.12868383614795098</x:v>
      </x:c>
      <x:c r="N10" s="19" t="str">
        <x:f>IF(ABS(J10)&lt;=0.05,"Weak or Uncertain History",IF(J10&gt;0,"Historically Better With More","Historically Better With Less"))</x:f>
        <x:v>Historically Better With More</x:v>
      </x:c>
    </x:row>
    <x:row r="11" ht="23" customHeight="1">
      <x:c r="A11" s="20" t="str">
        <x:v>case_01|team_passing_control</x:v>
      </x:c>
      <x:c r="B11" s="15" t="str">
        <x:v>case_01</x:v>
      </x:c>
      <x:c r="C11" s="15" t="str">
        <x:v>Craig Dawson</x:v>
      </x:c>
      <x:c r="D11" s="15" t="str">
        <x:v>West Ham United</x:v>
      </x:c>
      <x:c r="E11" s="15" t="str">
        <x:v>team_passing_control</x:v>
      </x:c>
      <x:c r="F11" s="15" t="str">
        <x:v>Team passing control</x:v>
      </x:c>
      <x:c r="G11" s="40" t="n">
        <x:v>-0.1080497709762582</x:v>
      </x:c>
      <x:c r="H11" s="40" t="n">
        <x:v>-0.2679589822797716</x:v>
      </x:c>
      <x:c r="I11" s="40" t="n">
        <x:v>-0.2715961391004174</x:v>
      </x:c>
      <x:c r="J11" s="36" t="n">
        <x:v>-0.220897345366731</x:v>
      </x:c>
      <x:c r="K11" s="40" t="n">
        <x:f>IFERROR(ABS(G11-H11),"")</x:f>
        <x:v>0.1599092113035134</x:v>
      </x:c>
      <x:c r="L11" s="40" t="n">
        <x:f>IFERROR(ABS(G11-I11),"")</x:f>
        <x:v>0.1635463681241592</x:v>
      </x:c>
      <x:c r="M11" s="36" t="n">
        <x:f>IFERROR(G11*J11,"")</x:f>
        <x:v>0.023867907576138696</x:v>
      </x:c>
      <x:c r="N11" s="20" t="str">
        <x:f>IF(ABS(J11)&lt;=0.05,"Weak or Uncertain History",IF(J11&gt;0,"Historically Better With More","Historically Better With Less"))</x:f>
        <x:v>Historically Better With Less</x:v>
      </x:c>
    </x:row>
    <x:row r="12" ht="23" customHeight="1">
      <x:c r="A12" s="19" t="str">
        <x:v>case_04|defensive_intensity</x:v>
      </x:c>
      <x:c r="B12" s="17" t="str">
        <x:v>case_04</x:v>
      </x:c>
      <x:c r="C12" s="17" t="str">
        <x:v>Keita Baldé</x:v>
      </x:c>
      <x:c r="D12" s="17" t="str">
        <x:v>Cagliari Calcio</x:v>
      </x:c>
      <x:c r="E12" s="17" t="str">
        <x:v>defensive_intensity</x:v>
      </x:c>
      <x:c r="F12" s="17" t="str">
        <x:v>Defensive intensity</x:v>
      </x:c>
      <x:c r="G12" s="39" t="n">
        <x:v>0.1242467981226791</x:v>
      </x:c>
      <x:c r="H12" s="39" t="n">
        <x:v>-0.011262131644889</x:v>
      </x:c>
      <x:c r="I12" s="39" t="n">
        <x:v>-0.0167912881207594</x:v>
      </x:c>
      <x:c r="J12" s="35" t="n">
        <x:v>-0.5537193652931741</x:v>
      </x:c>
      <x:c r="K12" s="39" t="n">
        <x:f>IFERROR(ABS(G12-H12),"")</x:f>
        <x:v>0.1355089297675681</x:v>
      </x:c>
      <x:c r="L12" s="39" t="n">
        <x:f>IFERROR(ABS(G12-I12),"")</x:f>
        <x:v>0.1410380862434385</x:v>
      </x:c>
      <x:c r="M12" s="35" t="n">
        <x:f>IFERROR(G12*J12,"")</x:f>
        <x:v>-0.068797858196199</x:v>
      </x:c>
      <x:c r="N12" s="19" t="str">
        <x:f>IF(ABS(J12)&lt;=0.05,"Weak or Uncertain History",IF(J12&gt;0,"Historically Better With More","Historically Better With Less"))</x:f>
        <x:v>Historically Better With Less</x:v>
      </x:c>
    </x:row>
    <x:row r="13" ht="23" customHeight="1">
      <x:c r="A13" s="20" t="str">
        <x:v>case_04|forward_mobility</x:v>
      </x:c>
      <x:c r="B13" s="15" t="str">
        <x:v>case_04</x:v>
      </x:c>
      <x:c r="C13" s="15" t="str">
        <x:v>Keita Baldé</x:v>
      </x:c>
      <x:c r="D13" s="15" t="str">
        <x:v>Cagliari Calcio</x:v>
      </x:c>
      <x:c r="E13" s="15" t="str">
        <x:v>forward_mobility</x:v>
      </x:c>
      <x:c r="F13" s="15" t="str">
        <x:v>Forward mobility</x:v>
      </x:c>
      <x:c r="G13" s="40" t="n">
        <x:v>-0.2352491829477281</x:v>
      </x:c>
      <x:c r="H13" s="40" t="n">
        <x:v>0.0862773988171459</x:v>
      </x:c>
      <x:c r="I13" s="40" t="n">
        <x:v>0.0869664661351517</x:v>
      </x:c>
      <x:c r="J13" s="36" t="n">
        <x:v>0.0258839349230095</x:v>
      </x:c>
      <x:c r="K13" s="40" t="n">
        <x:f>IFERROR(ABS(G13-H13),"")</x:f>
        <x:v>0.321526581764874</x:v>
      </x:c>
      <x:c r="L13" s="40" t="n">
        <x:f>IFERROR(ABS(G13-I13),"")</x:f>
        <x:v>0.3222156490828798</x:v>
      </x:c>
      <x:c r="M13" s="36" t="n">
        <x:f>IFERROR(G13*J13,"")</x:f>
        <x:v>-0.00608917454211015</x:v>
      </x:c>
      <x:c r="N13" s="20" t="str">
        <x:f>IF(ABS(J13)&lt;=0.05,"Weak or Uncertain History",IF(J13&gt;0,"Historically Better With More","Historically Better With Less"))</x:f>
        <x:v>Weak or Uncertain History</x:v>
      </x:c>
    </x:row>
    <x:row r="14" ht="23" customHeight="1">
      <x:c r="A14" s="19" t="str">
        <x:v>case_04|forward_threat</x:v>
      </x:c>
      <x:c r="B14" s="17" t="str">
        <x:v>case_04</x:v>
      </x:c>
      <x:c r="C14" s="17" t="str">
        <x:v>Keita Baldé</x:v>
      </x:c>
      <x:c r="D14" s="17" t="str">
        <x:v>Cagliari Calcio</x:v>
      </x:c>
      <x:c r="E14" s="17" t="str">
        <x:v>forward_threat</x:v>
      </x:c>
      <x:c r="F14" s="17" t="str">
        <x:v>Forward threat</x:v>
      </x:c>
      <x:c r="G14" s="39" t="n">
        <x:v>0.0823913213317008</x:v>
      </x:c>
      <x:c r="H14" s="39" t="n">
        <x:v>0.4405159545575393</x:v>
      </x:c>
      <x:c r="I14" s="39" t="n">
        <x:v>0.4062066008904541</x:v>
      </x:c>
      <x:c r="J14" s="35" t="n">
        <x:v>-0.2613643481959018</x:v>
      </x:c>
      <x:c r="K14" s="39" t="n">
        <x:f>IFERROR(ABS(G14-H14),"")</x:f>
        <x:v>0.3581246332258385</x:v>
      </x:c>
      <x:c r="L14" s="39" t="n">
        <x:f>IFERROR(ABS(G14-I14),"")</x:f>
        <x:v>0.3238152795587533</x:v>
      </x:c>
      <x:c r="M14" s="35" t="n">
        <x:f>IFERROR(G14*J14,"")</x:f>
        <x:v>-0.021534153996859078</x:v>
      </x:c>
      <x:c r="N14" s="19" t="str">
        <x:f>IF(ABS(J14)&lt;=0.05,"Weak or Uncertain History",IF(J14&gt;0,"Historically Better With More","Historically Better With Less"))</x:f>
        <x:v>Historically Better With Less</x:v>
      </x:c>
    </x:row>
    <x:row r="15" ht="23" customHeight="1">
      <x:c r="A15" s="20" t="str">
        <x:v>case_04|midfield_aggression</x:v>
      </x:c>
      <x:c r="B15" s="15" t="str">
        <x:v>case_04</x:v>
      </x:c>
      <x:c r="C15" s="15" t="str">
        <x:v>Keita Baldé</x:v>
      </x:c>
      <x:c r="D15" s="15" t="str">
        <x:v>Cagliari Calcio</x:v>
      </x:c>
      <x:c r="E15" s="15" t="str">
        <x:v>midfield_aggression</x:v>
      </x:c>
      <x:c r="F15" s="15" t="str">
        <x:v>Midfield aggression</x:v>
      </x:c>
      <x:c r="G15" s="40" t="n">
        <x:v>-0.0132716081739627</x:v>
      </x:c>
      <x:c r="H15" s="40" t="n">
        <x:v>0.1112820782403938</x:v>
      </x:c>
      <x:c r="I15" s="40" t="n">
        <x:v>0.1148604934423813</x:v>
      </x:c>
      <x:c r="J15" s="36" t="n">
        <x:v>0.1077197733654099</x:v>
      </x:c>
      <x:c r="K15" s="40" t="n">
        <x:f>IFERROR(ABS(G15-H15),"")</x:f>
        <x:v>0.12455368641435649</x:v>
      </x:c>
      <x:c r="L15" s="40" t="n">
        <x:f>IFERROR(ABS(G15-I15),"")</x:f>
        <x:v>0.128132101616344</x:v>
      </x:c>
      <x:c r="M15" s="36" t="n">
        <x:f>IFERROR(G15*J15,"")</x:f>
        <x:v>-0.0014296146246937837</x:v>
      </x:c>
      <x:c r="N15" s="20" t="str">
        <x:f>IF(ABS(J15)&lt;=0.05,"Weak or Uncertain History",IF(J15&gt;0,"Historically Better With More","Historically Better With Less"))</x:f>
        <x:v>Historically Better With More</x:v>
      </x:c>
    </x:row>
    <x:row r="16" ht="23" customHeight="1">
      <x:c r="A16" s="19" t="str">
        <x:v>case_04|midfield_creativity</x:v>
      </x:c>
      <x:c r="B16" s="17" t="str">
        <x:v>case_04</x:v>
      </x:c>
      <x:c r="C16" s="17" t="str">
        <x:v>Keita Baldé</x:v>
      </x:c>
      <x:c r="D16" s="17" t="str">
        <x:v>Cagliari Calcio</x:v>
      </x:c>
      <x:c r="E16" s="17" t="str">
        <x:v>midfield_creativity</x:v>
      </x:c>
      <x:c r="F16" s="17" t="str">
        <x:v>Midfield creativity</x:v>
      </x:c>
      <x:c r="G16" s="39" t="n">
        <x:v>0.1031686255544405</x:v>
      </x:c>
      <x:c r="H16" s="39" t="n">
        <x:v>0.2059637909007045</x:v>
      </x:c>
      <x:c r="I16" s="39" t="n">
        <x:v>0.2085662270334589</x:v>
      </x:c>
      <x:c r="J16" s="35" t="n">
        <x:v>0.1613849388482542</x:v>
      </x:c>
      <x:c r="K16" s="39" t="n">
        <x:f>IFERROR(ABS(G16-H16),"")</x:f>
        <x:v>0.102795165346264</x:v>
      </x:c>
      <x:c r="L16" s="39" t="n">
        <x:f>IFERROR(ABS(G16-I16),"")</x:f>
        <x:v>0.1053976014790184</x:v>
      </x:c>
      <x:c r="M16" s="35" t="n">
        <x:f>IFERROR(G16*J16,"")</x:f>
        <x:v>0.016649862326161814</x:v>
      </x:c>
      <x:c r="N16" s="19" t="str">
        <x:f>IF(ABS(J16)&lt;=0.05,"Weak or Uncertain History",IF(J16&gt;0,"Historically Better With More","Historically Better With Less"))</x:f>
        <x:v>Historically Better With More</x:v>
      </x:c>
    </x:row>
    <x:row r="17" ht="23" customHeight="1">
      <x:c r="A17" s="20" t="str">
        <x:v>case_04|team_passing_control</x:v>
      </x:c>
      <x:c r="B17" s="15" t="str">
        <x:v>case_04</x:v>
      </x:c>
      <x:c r="C17" s="15" t="str">
        <x:v>Keita Baldé</x:v>
      </x:c>
      <x:c r="D17" s="15" t="str">
        <x:v>Cagliari Calcio</x:v>
      </x:c>
      <x:c r="E17" s="15" t="str">
        <x:v>team_passing_control</x:v>
      </x:c>
      <x:c r="F17" s="15" t="str">
        <x:v>Team passing control</x:v>
      </x:c>
      <x:c r="G17" s="40" t="n">
        <x:v>-0.0412843169158303</x:v>
      </x:c>
      <x:c r="H17" s="40" t="n">
        <x:v>0.1904122776807037</x:v>
      </x:c>
      <x:c r="I17" s="40" t="n">
        <x:v>0.2086662255363863</x:v>
      </x:c>
      <x:c r="J17" s="36" t="n">
        <x:v>0.2599506510673591</x:v>
      </x:c>
      <x:c r="K17" s="40" t="n">
        <x:f>IFERROR(ABS(G17-H17),"")</x:f>
        <x:v>0.23169659459653402</x:v>
      </x:c>
      <x:c r="L17" s="40" t="n">
        <x:f>IFERROR(ABS(G17-I17),"")</x:f>
        <x:v>0.2499505424522166</x:v>
      </x:c>
      <x:c r="M17" s="36" t="n">
        <x:f>IFERROR(G17*J17,"")</x:f>
        <x:v>-0.010731885061141273</x:v>
      </x:c>
      <x:c r="N17" s="20" t="str">
        <x:f>IF(ABS(J17)&lt;=0.05,"Weak or Uncertain History",IF(J17&gt;0,"Historically Better With More","Historically Better With Less"))</x:f>
        <x:v>Historically Better With More</x:v>
      </x:c>
    </x:row>
    <x:row r="18" ht="23" customHeight="1">
      <x:c r="A18" s="19" t="str">
        <x:v>case_10|defensive_intensity</x:v>
      </x:c>
      <x:c r="B18" s="17" t="str">
        <x:v>case_10</x:v>
      </x:c>
      <x:c r="C18" s="17" t="str">
        <x:v>Lucas Perrin</x:v>
      </x:c>
      <x:c r="D18" s="17" t="str">
        <x:v>RC Strasbourg Alsace</x:v>
      </x:c>
      <x:c r="E18" s="17" t="str">
        <x:v>defensive_intensity</x:v>
      </x:c>
      <x:c r="F18" s="17" t="str">
        <x:v>Defensive intensity</x:v>
      </x:c>
      <x:c r="G18" s="39" t="n">
        <x:v>0.0875497273875597</x:v>
      </x:c>
      <x:c r="H18" s="39" t="n">
        <x:v>0.0384815217128713</x:v>
      </x:c>
      <x:c r="I18" s="39" t="n">
        <x:v>0.0251719783408284</x:v>
      </x:c>
      <x:c r="J18" s="35" t="n">
        <x:v>-1.0588747613801577</x:v>
      </x:c>
      <x:c r="K18" s="39" t="n">
        <x:f>IFERROR(ABS(G18-H18),"")</x:f>
        <x:v>0.0490682056746884</x:v>
      </x:c>
      <x:c r="L18" s="39" t="n">
        <x:f>IFERROR(ABS(G18-I18),"")</x:f>
        <x:v>0.062377749046731296</x:v>
      </x:c>
      <x:c r="M18" s="35" t="n">
        <x:f>IFERROR(G18*J18,"")</x:f>
        <x:v>-0.09270419669640013</x:v>
      </x:c>
      <x:c r="N18" s="19" t="str">
        <x:f>IF(ABS(J18)&lt;=0.05,"Weak or Uncertain History",IF(J18&gt;0,"Historically Better With More","Historically Better With Less"))</x:f>
        <x:v>Historically Better With Less</x:v>
      </x:c>
    </x:row>
    <x:row r="19" ht="23" customHeight="1">
      <x:c r="A19" s="20" t="str">
        <x:v>case_10|forward_mobility</x:v>
      </x:c>
      <x:c r="B19" s="15" t="str">
        <x:v>case_10</x:v>
      </x:c>
      <x:c r="C19" s="15" t="str">
        <x:v>Lucas Perrin</x:v>
      </x:c>
      <x:c r="D19" s="15" t="str">
        <x:v>RC Strasbourg Alsace</x:v>
      </x:c>
      <x:c r="E19" s="15" t="str">
        <x:v>forward_mobility</x:v>
      </x:c>
      <x:c r="F19" s="15" t="str">
        <x:v>Forward mobility</x:v>
      </x:c>
      <x:c r="G19" s="40" t="n">
        <x:v>-0.2464779585145043</x:v>
      </x:c>
      <x:c r="H19" s="40" t="n">
        <x:v>0.0826497621320517</x:v>
      </x:c>
      <x:c r="I19" s="40" t="n">
        <x:v>0.0794183996925179</x:v>
      </x:c>
      <x:c r="J19" s="36" t="n">
        <x:v>-4.361361446097591</x:v>
      </x:c>
      <x:c r="K19" s="40" t="n">
        <x:f>IFERROR(ABS(G19-H19),"")</x:f>
        <x:v>0.329127720646556</x:v>
      </x:c>
      <x:c r="L19" s="40" t="n">
        <x:f>IFERROR(ABS(G19-I19),"")</x:f>
        <x:v>0.32589635820702223</x:v>
      </x:c>
      <x:c r="M19" s="36" t="n">
        <x:f>IFERROR(G19*J19,"")</x:f>
        <x:v>1.0749794655780005</x:v>
      </x:c>
      <x:c r="N19" s="20" t="str">
        <x:f>IF(ABS(J19)&lt;=0.05,"Weak or Uncertain History",IF(J19&gt;0,"Historically Better With More","Historically Better With Less"))</x:f>
        <x:v>Historically Better With Less</x:v>
      </x:c>
    </x:row>
    <x:row r="20" ht="23" customHeight="1">
      <x:c r="A20" s="19" t="str">
        <x:v>case_10|forward_threat</x:v>
      </x:c>
      <x:c r="B20" s="17" t="str">
        <x:v>case_10</x:v>
      </x:c>
      <x:c r="C20" s="17" t="str">
        <x:v>Lucas Perrin</x:v>
      </x:c>
      <x:c r="D20" s="17" t="str">
        <x:v>RC Strasbourg Alsace</x:v>
      </x:c>
      <x:c r="E20" s="17" t="str">
        <x:v>forward_threat</x:v>
      </x:c>
      <x:c r="F20" s="17" t="str">
        <x:v>Forward threat</x:v>
      </x:c>
      <x:c r="G20" s="39" t="n">
        <x:v>0.1734360320121028</x:v>
      </x:c>
      <x:c r="H20" s="39" t="n">
        <x:v>0.0145064255174276</x:v>
      </x:c>
      <x:c r="I20" s="39" t="n">
        <x:v>0.0044449869047016</x:v>
      </x:c>
      <x:c r="J20" s="35" t="n">
        <x:v>-1.4007081993548418</x:v>
      </x:c>
      <x:c r="K20" s="39" t="n">
        <x:f>IFERROR(ABS(G20-H20),"")</x:f>
        <x:v>0.15892960649467522</x:v>
      </x:c>
      <x:c r="L20" s="39" t="n">
        <x:f>IFERROR(ABS(G20-I20),"")</x:f>
        <x:v>0.1689910451074012</x:v>
      </x:c>
      <x:c r="M20" s="35" t="n">
        <x:f>IFERROR(G20*J20,"")</x:f>
        <x:v>-0.24293327210292123</x:v>
      </x:c>
      <x:c r="N20" s="19" t="str">
        <x:f>IF(ABS(J20)&lt;=0.05,"Weak or Uncertain History",IF(J20&gt;0,"Historically Better With More","Historically Better With Less"))</x:f>
        <x:v>Historically Better With Less</x:v>
      </x:c>
    </x:row>
    <x:row r="21" ht="23" customHeight="1">
      <x:c r="A21" s="20" t="str">
        <x:v>case_10|midfield_aggression</x:v>
      </x:c>
      <x:c r="B21" s="15" t="str">
        <x:v>case_10</x:v>
      </x:c>
      <x:c r="C21" s="15" t="str">
        <x:v>Lucas Perrin</x:v>
      </x:c>
      <x:c r="D21" s="15" t="str">
        <x:v>RC Strasbourg Alsace</x:v>
      </x:c>
      <x:c r="E21" s="15" t="str">
        <x:v>midfield_aggression</x:v>
      </x:c>
      <x:c r="F21" s="15" t="str">
        <x:v>Midfield aggression</x:v>
      </x:c>
      <x:c r="G21" s="40" t="n">
        <x:v>-0.1876357815344599</x:v>
      </x:c>
      <x:c r="H21" s="40" t="n">
        <x:v>0.0016946982970612</x:v>
      </x:c>
      <x:c r="I21" s="40" t="n">
        <x:v>-0.0044662901106441</x:v>
      </x:c>
      <x:c r="J21" s="36" t="n">
        <x:v>-2.2874802920461024</x:v>
      </x:c>
      <x:c r="K21" s="40" t="n">
        <x:f>IFERROR(ABS(G21-H21),"")</x:f>
        <x:v>0.1893304798315211</x:v>
      </x:c>
      <x:c r="L21" s="40" t="n">
        <x:f>IFERROR(ABS(G21-I21),"")</x:f>
        <x:v>0.1831694914238158</x:v>
      </x:c>
      <x:c r="M21" s="36" t="n">
        <x:f>IFERROR(G21*J21,"")</x:f>
        <x:v>0.429213152342745</x:v>
      </x:c>
      <x:c r="N21" s="20" t="str">
        <x:f>IF(ABS(J21)&lt;=0.05,"Weak or Uncertain History",IF(J21&gt;0,"Historically Better With More","Historically Better With Less"))</x:f>
        <x:v>Historically Better With Less</x:v>
      </x:c>
    </x:row>
    <x:row r="22" ht="23" customHeight="1">
      <x:c r="A22" s="19" t="str">
        <x:v>case_10|midfield_creativity</x:v>
      </x:c>
      <x:c r="B22" s="17" t="str">
        <x:v>case_10</x:v>
      </x:c>
      <x:c r="C22" s="17" t="str">
        <x:v>Lucas Perrin</x:v>
      </x:c>
      <x:c r="D22" s="17" t="str">
        <x:v>RC Strasbourg Alsace</x:v>
      </x:c>
      <x:c r="E22" s="17" t="str">
        <x:v>midfield_creativity</x:v>
      </x:c>
      <x:c r="F22" s="17" t="str">
        <x:v>Midfield creativity</x:v>
      </x:c>
      <x:c r="G22" s="39" t="n">
        <x:v>-0.1197949182149415</x:v>
      </x:c>
      <x:c r="H22" s="39" t="n">
        <x:v>-0.108709927845489</x:v>
      </x:c>
      <x:c r="I22" s="39" t="n">
        <x:v>-0.1251561814798387</x:v>
      </x:c>
      <x:c r="J22" s="35" t="n">
        <x:v>-0.8569209666519911</x:v>
      </x:c>
      <x:c r="K22" s="39" t="n">
        <x:f>IFERROR(ABS(G22-H22),"")</x:f>
        <x:v>0.0110849903694525</x:v>
      </x:c>
      <x:c r="L22" s="39" t="n">
        <x:f>IFERROR(ABS(G22-I22),"")</x:f>
        <x:v>0.005361263264897206</x:v>
      </x:c>
      <x:c r="M22" s="35" t="n">
        <x:f>IFERROR(G22*J22,"")</x:f>
        <x:v>0.10265477711674388</x:v>
      </x:c>
      <x:c r="N22" s="19" t="str">
        <x:f>IF(ABS(J22)&lt;=0.05,"Weak or Uncertain History",IF(J22&gt;0,"Historically Better With More","Historically Better With Less"))</x:f>
        <x:v>Historically Better With Less</x:v>
      </x:c>
    </x:row>
    <x:row r="23" ht="23" customHeight="1">
      <x:c r="A23" s="20" t="str">
        <x:v>case_10|team_passing_control</x:v>
      </x:c>
      <x:c r="B23" s="15" t="str">
        <x:v>case_10</x:v>
      </x:c>
      <x:c r="C23" s="15" t="str">
        <x:v>Lucas Perrin</x:v>
      </x:c>
      <x:c r="D23" s="15" t="str">
        <x:v>RC Strasbourg Alsace</x:v>
      </x:c>
      <x:c r="E23" s="15" t="str">
        <x:v>team_passing_control</x:v>
      </x:c>
      <x:c r="F23" s="15" t="str">
        <x:v>Team passing control</x:v>
      </x:c>
      <x:c r="G23" s="40" t="n">
        <x:v>-0.1277278444091283</x:v>
      </x:c>
      <x:c r="H23" s="40" t="n">
        <x:v>0.1820838448557167</x:v>
      </x:c>
      <x:c r="I23" s="40" t="n">
        <x:v>0.1921596497915713</x:v>
      </x:c>
      <x:c r="J23" s="36" t="n">
        <x:v>1.398711036177415</x:v>
      </x:c>
      <x:c r="K23" s="40" t="n">
        <x:f>IFERROR(ABS(G23-H23),"")</x:f>
        <x:v>0.309811689264845</x:v>
      </x:c>
      <x:c r="L23" s="40" t="n">
        <x:f>IFERROR(ABS(G23-I23),"")</x:f>
        <x:v>0.3198874942006996</x:v>
      </x:c>
      <x:c r="M23" s="36" t="n">
        <x:f>IFERROR(G23*J23,"")</x:f>
        <x:v>-0.1786543456021995</x:v>
      </x:c>
      <x:c r="N23" s="20" t="str">
        <x:f>IF(ABS(J23)&lt;=0.05,"Weak or Uncertain History",IF(J23&gt;0,"Historically Better With More","Historically Better With Less"))</x:f>
        <x:v>Historically Better With More</x:v>
      </x:c>
    </x:row>
    <x:row r="24" ht="23" customHeight="1">
      <x:c r="A24" s="19" t="str">
        <x:v>case_11|defensive_intensity</x:v>
      </x:c>
      <x:c r="B24" s="17" t="str">
        <x:v>case_11</x:v>
      </x:c>
      <x:c r="C24" s="17" t="str">
        <x:v>Gaëtan Laborde</x:v>
      </x:c>
      <x:c r="D24" s="17" t="str">
        <x:v>OGC Nice</x:v>
      </x:c>
      <x:c r="E24" s="17" t="str">
        <x:v>defensive_intensity</x:v>
      </x:c>
      <x:c r="F24" s="17" t="str">
        <x:v>Defensive intensity</x:v>
      </x:c>
      <x:c r="G24" s="39" t="n">
        <x:v>0.0922045012726613</x:v>
      </x:c>
      <x:c r="H24" s="39" t="n">
        <x:v>-0.0017985513189106</x:v>
      </x:c>
      <x:c r="I24" s="39" t="n">
        <x:v>-0.0009777358665968</x:v>
      </x:c>
      <x:c r="J24" s="35" t="n">
        <x:v>0.0307176015463112</x:v>
      </x:c>
      <x:c r="K24" s="39" t="n">
        <x:f>IFERROR(ABS(G24-H24),"")</x:f>
        <x:v>0.0940030525915719</x:v>
      </x:c>
      <x:c r="L24" s="39" t="n">
        <x:f>IFERROR(ABS(G24-I24),"")</x:f>
        <x:v>0.0931822371392581</x:v>
      </x:c>
      <x:c r="M24" s="35" t="n">
        <x:f>IFERROR(G24*J24,"")</x:f>
        <x:v>0.002832301130869954</x:v>
      </x:c>
      <x:c r="N24" s="19" t="str">
        <x:f>IF(ABS(J24)&lt;=0.05,"Weak or Uncertain History",IF(J24&gt;0,"Historically Better With More","Historically Better With Less"))</x:f>
        <x:v>Weak or Uncertain History</x:v>
      </x:c>
    </x:row>
    <x:row r="25" ht="23" customHeight="1">
      <x:c r="A25" s="20" t="str">
        <x:v>case_11|forward_mobility</x:v>
      </x:c>
      <x:c r="B25" s="15" t="str">
        <x:v>case_11</x:v>
      </x:c>
      <x:c r="C25" s="15" t="str">
        <x:v>Gaëtan Laborde</x:v>
      </x:c>
      <x:c r="D25" s="15" t="str">
        <x:v>OGC Nice</x:v>
      </x:c>
      <x:c r="E25" s="15" t="str">
        <x:v>forward_mobility</x:v>
      </x:c>
      <x:c r="F25" s="15" t="str">
        <x:v>Forward mobility</x:v>
      </x:c>
      <x:c r="G25" s="40" t="n">
        <x:v>-0.028691825458396</x:v>
      </x:c>
      <x:c r="H25" s="40" t="n">
        <x:v>0.0445831035976279</x:v>
      </x:c>
      <x:c r="I25" s="40" t="n">
        <x:v>0.0400801440415708</x:v>
      </x:c>
      <x:c r="J25" s="36" t="n">
        <x:v>-0.3685103840868225</x:v>
      </x:c>
      <x:c r="K25" s="40" t="n">
        <x:f>IFERROR(ABS(G25-H25),"")</x:f>
        <x:v>0.0732749290560239</x:v>
      </x:c>
      <x:c r="L25" s="40" t="n">
        <x:f>IFERROR(ABS(G25-I25),"")</x:f>
        <x:v>0.0687719694999668</x:v>
      </x:c>
      <x:c r="M25" s="36" t="n">
        <x:f>IFERROR(G25*J25,"")</x:f>
        <x:v>0.010573235619825582</x:v>
      </x:c>
      <x:c r="N25" s="20" t="str">
        <x:f>IF(ABS(J25)&lt;=0.05,"Weak or Uncertain History",IF(J25&gt;0,"Historically Better With More","Historically Better With Less"))</x:f>
        <x:v>Historically Better With Less</x:v>
      </x:c>
    </x:row>
    <x:row r="26" ht="23" customHeight="1">
      <x:c r="A26" s="19" t="str">
        <x:v>case_11|forward_threat</x:v>
      </x:c>
      <x:c r="B26" s="17" t="str">
        <x:v>case_11</x:v>
      </x:c>
      <x:c r="C26" s="17" t="str">
        <x:v>Gaëtan Laborde</x:v>
      </x:c>
      <x:c r="D26" s="17" t="str">
        <x:v>OGC Nice</x:v>
      </x:c>
      <x:c r="E26" s="17" t="str">
        <x:v>forward_threat</x:v>
      </x:c>
      <x:c r="F26" s="17" t="str">
        <x:v>Forward threat</x:v>
      </x:c>
      <x:c r="G26" s="39" t="n">
        <x:v>0.3023872090290362</x:v>
      </x:c>
      <x:c r="H26" s="39" t="n">
        <x:v>0.4065798819434211</x:v>
      </x:c>
      <x:c r="I26" s="39" t="n">
        <x:v>0.4128113197682808</x:v>
      </x:c>
      <x:c r="J26" s="35" t="n">
        <x:v>0.2290698923822105</x:v>
      </x:c>
      <x:c r="K26" s="39" t="n">
        <x:f>IFERROR(ABS(G26-H26),"")</x:f>
        <x:v>0.10419267291438489</x:v>
      </x:c>
      <x:c r="L26" s="39" t="n">
        <x:f>IFERROR(ABS(G26-I26),"")</x:f>
        <x:v>0.11042411073924457</x:v>
      </x:c>
      <x:c r="M26" s="35" t="n">
        <x:f>IFERROR(G26*J26,"")</x:f>
        <x:v>0.06926780543003831</x:v>
      </x:c>
      <x:c r="N26" s="19" t="str">
        <x:f>IF(ABS(J26)&lt;=0.05,"Weak or Uncertain History",IF(J26&gt;0,"Historically Better With More","Historically Better With Less"))</x:f>
        <x:v>Historically Better With More</x:v>
      </x:c>
    </x:row>
    <x:row r="27" ht="23" customHeight="1">
      <x:c r="A27" s="20" t="str">
        <x:v>case_11|midfield_aggression</x:v>
      </x:c>
      <x:c r="B27" s="15" t="str">
        <x:v>case_11</x:v>
      </x:c>
      <x:c r="C27" s="15" t="str">
        <x:v>Gaëtan Laborde</x:v>
      </x:c>
      <x:c r="D27" s="15" t="str">
        <x:v>OGC Nice</x:v>
      </x:c>
      <x:c r="E27" s="15" t="str">
        <x:v>midfield_aggression</x:v>
      </x:c>
      <x:c r="F27" s="15" t="str">
        <x:v>Midfield aggression</x:v>
      </x:c>
      <x:c r="G27" s="40" t="n">
        <x:v>-0.066040594466713</x:v>
      </x:c>
      <x:c r="H27" s="40" t="n">
        <x:v>0.0262514937816566</x:v>
      </x:c>
      <x:c r="I27" s="40" t="n">
        <x:v>0.0290475134800307</x:v>
      </x:c>
      <x:c r="J27" s="36" t="n">
        <x:v>0.4333763767994463</x:v>
      </x:c>
      <x:c r="K27" s="40" t="n">
        <x:f>IFERROR(ABS(G27-H27),"")</x:f>
        <x:v>0.0922920882483696</x:v>
      </x:c>
      <x:c r="L27" s="40" t="n">
        <x:f>IFERROR(ABS(G27-I27),"")</x:f>
        <x:v>0.09508810794674369</x:v>
      </x:c>
      <x:c r="M27" s="36" t="n">
        <x:f>IFERROR(G27*J27,"")</x:f>
        <x:v>-0.02862043355166564</x:v>
      </x:c>
      <x:c r="N27" s="20" t="str">
        <x:f>IF(ABS(J27)&lt;=0.05,"Weak or Uncertain History",IF(J27&gt;0,"Historically Better With More","Historically Better With Less"))</x:f>
        <x:v>Historically Better With More</x:v>
      </x:c>
    </x:row>
    <x:row r="28" ht="23" customHeight="1">
      <x:c r="A28" s="19" t="str">
        <x:v>case_11|midfield_creativity</x:v>
      </x:c>
      <x:c r="B28" s="17" t="str">
        <x:v>case_11</x:v>
      </x:c>
      <x:c r="C28" s="17" t="str">
        <x:v>Gaëtan Laborde</x:v>
      </x:c>
      <x:c r="D28" s="17" t="str">
        <x:v>OGC Nice</x:v>
      </x:c>
      <x:c r="E28" s="17" t="str">
        <x:v>midfield_creativity</x:v>
      </x:c>
      <x:c r="F28" s="17" t="str">
        <x:v>Midfield creativity</x:v>
      </x:c>
      <x:c r="G28" s="39" t="n">
        <x:v>-0.0620187026047017</x:v>
      </x:c>
      <x:c r="H28" s="39" t="n">
        <x:v>0.0187363521394144</x:v>
      </x:c>
      <x:c r="I28" s="39" t="n">
        <x:v>0.025392146056058</x:v>
      </x:c>
      <x:c r="J28" s="35" t="n">
        <x:v>0.5828180782907371</x:v>
      </x:c>
      <x:c r="K28" s="39" t="n">
        <x:f>IFERROR(ABS(G28-H28),"")</x:f>
        <x:v>0.0807550547441161</x:v>
      </x:c>
      <x:c r="L28" s="39" t="n">
        <x:f>IFERROR(ABS(G28-I28),"")</x:f>
        <x:v>0.0874108486607597</x:v>
      </x:c>
      <x:c r="M28" s="35" t="n">
        <x:f>IFERROR(G28*J28,"")</x:f>
        <x:v>-0.03614562107015697</x:v>
      </x:c>
      <x:c r="N28" s="19" t="str">
        <x:f>IF(ABS(J28)&lt;=0.05,"Weak or Uncertain History",IF(J28&gt;0,"Historically Better With More","Historically Better With Less"))</x:f>
        <x:v>Historically Better With More</x:v>
      </x:c>
    </x:row>
    <x:row r="29" ht="23" customHeight="1">
      <x:c r="A29" s="20" t="str">
        <x:v>case_11|team_passing_control</x:v>
      </x:c>
      <x:c r="B29" s="15" t="str">
        <x:v>case_11</x:v>
      </x:c>
      <x:c r="C29" s="15" t="str">
        <x:v>Gaëtan Laborde</x:v>
      </x:c>
      <x:c r="D29" s="15" t="str">
        <x:v>OGC Nice</x:v>
      </x:c>
      <x:c r="E29" s="15" t="str">
        <x:v>team_passing_control</x:v>
      </x:c>
      <x:c r="F29" s="15" t="str">
        <x:v>Team passing control</x:v>
      </x:c>
      <x:c r="G29" s="40" t="n">
        <x:v>0.1600705181941036</x:v>
      </x:c>
      <x:c r="H29" s="40" t="n">
        <x:v>0.0485142140319378</x:v>
      </x:c>
      <x:c r="I29" s="40" t="n">
        <x:v>0.051547580296899</x:v>
      </x:c>
      <x:c r="J29" s="36" t="n">
        <x:v>0.0452674523278275</x:v>
      </x:c>
      <x:c r="K29" s="40" t="n">
        <x:f>IFERROR(ABS(G29-H29),"")</x:f>
        <x:v>0.11155630416216579</x:v>
      </x:c>
      <x:c r="L29" s="40" t="n">
        <x:f>IFERROR(ABS(G29-I29),"")</x:f>
        <x:v>0.10852293789720459</x:v>
      </x:c>
      <x:c r="M29" s="36" t="n">
        <x:f>IFERROR(G29*J29,"")</x:f>
        <x:v>0.007245984551442229</x:v>
      </x:c>
      <x:c r="N29" s="20" t="str">
        <x:f>IF(ABS(J29)&lt;=0.05,"Weak or Uncertain History",IF(J29&gt;0,"Historically Better With More","Historically Better With Less"))</x:f>
        <x:v>Weak or Uncertain History</x:v>
      </x:c>
    </x:row>
    <x:row r="30" ht="23" customHeight="1">
      <x:c r="A30" s="19" t="str">
        <x:v>case_05|defensive_intensity</x:v>
      </x:c>
      <x:c r="B30" s="17" t="str">
        <x:v>case_05</x:v>
      </x:c>
      <x:c r="C30" s="17" t="str">
        <x:v>Philippe Coutinho</x:v>
      </x:c>
      <x:c r="D30" s="17" t="str">
        <x:v>Aston Villa</x:v>
      </x:c>
      <x:c r="E30" s="17" t="str">
        <x:v>defensive_intensity</x:v>
      </x:c>
      <x:c r="F30" s="17" t="str">
        <x:v>Defensive intensity</x:v>
      </x:c>
      <x:c r="G30" s="39" t="n">
        <x:v>-0.1619222644518609</x:v>
      </x:c>
      <x:c r="H30" s="39" t="n">
        <x:v>-0.1642957337853042</x:v>
      </x:c>
      <x:c r="I30" s="39" t="n">
        <x:v>-0.1658153386660252</x:v>
      </x:c>
      <x:c r="J30" s="35" t="n">
        <x:v>-0.2039989861785303</x:v>
      </x:c>
      <x:c r="K30" s="39" t="n">
        <x:f>IFERROR(ABS(G30-H30),"")</x:f>
        <x:v>0.0023734693334433177</x:v>
      </x:c>
      <x:c r="L30" s="39" t="n">
        <x:f>IFERROR(ABS(G30-I30),"")</x:f>
        <x:v>0.0038930742141643215</x:v>
      </x:c>
      <x:c r="M30" s="35" t="n">
        <x:f>IFERROR(G30*J30,"")</x:f>
        <x:v>0.0330319777879115</x:v>
      </x:c>
      <x:c r="N30" s="19" t="str">
        <x:f>IF(ABS(J30)&lt;=0.05,"Weak or Uncertain History",IF(J30&gt;0,"Historically Better With More","Historically Better With Less"))</x:f>
        <x:v>Historically Better With Less</x:v>
      </x:c>
    </x:row>
    <x:row r="31" ht="23" customHeight="1">
      <x:c r="A31" s="20" t="str">
        <x:v>case_05|forward_mobility</x:v>
      </x:c>
      <x:c r="B31" s="15" t="str">
        <x:v>case_05</x:v>
      </x:c>
      <x:c r="C31" s="15" t="str">
        <x:v>Philippe Coutinho</x:v>
      </x:c>
      <x:c r="D31" s="15" t="str">
        <x:v>Aston Villa</x:v>
      </x:c>
      <x:c r="E31" s="15" t="str">
        <x:v>forward_mobility</x:v>
      </x:c>
      <x:c r="F31" s="15" t="str">
        <x:v>Forward mobility</x:v>
      </x:c>
      <x:c r="G31" s="40" t="n">
        <x:v>-0.1448326999596771</x:v>
      </x:c>
      <x:c r="H31" s="40" t="n">
        <x:v>0.7587460898571439</x:v>
      </x:c>
      <x:c r="I31" s="40" t="n">
        <x:v>0.7613993167368059</x:v>
      </x:c>
      <x:c r="J31" s="36" t="n">
        <x:v>0.0314003671219749</x:v>
      </x:c>
      <x:c r="K31" s="40" t="n">
        <x:f>IFERROR(ABS(G31-H31),"")</x:f>
        <x:v>0.9035787898168209</x:v>
      </x:c>
      <x:c r="L31" s="40" t="n">
        <x:f>IFERROR(ABS(G31-I31),"")</x:f>
        <x:v>0.906232016696483</x:v>
      </x:c>
      <x:c r="M31" s="36" t="n">
        <x:f>IFERROR(G31*J31,"")</x:f>
        <x:v>-0.0045477999500007004</x:v>
      </x:c>
      <x:c r="N31" s="20" t="str">
        <x:f>IF(ABS(J31)&lt;=0.05,"Weak or Uncertain History",IF(J31&gt;0,"Historically Better With More","Historically Better With Less"))</x:f>
        <x:v>Weak or Uncertain History</x:v>
      </x:c>
    </x:row>
    <x:row r="32" ht="23" customHeight="1">
      <x:c r="A32" s="19" t="str">
        <x:v>case_05|forward_threat</x:v>
      </x:c>
      <x:c r="B32" s="17" t="str">
        <x:v>case_05</x:v>
      </x:c>
      <x:c r="C32" s="17" t="str">
        <x:v>Philippe Coutinho</x:v>
      </x:c>
      <x:c r="D32" s="17" t="str">
        <x:v>Aston Villa</x:v>
      </x:c>
      <x:c r="E32" s="17" t="str">
        <x:v>forward_threat</x:v>
      </x:c>
      <x:c r="F32" s="17" t="str">
        <x:v>Forward threat</x:v>
      </x:c>
      <x:c r="G32" s="39" t="n">
        <x:v>0.0087977153690593</x:v>
      </x:c>
      <x:c r="H32" s="39" t="n">
        <x:v>1.0786260104020515</x:v>
      </x:c>
      <x:c r="I32" s="39" t="n">
        <x:v>1.1082226641593538</x:v>
      </x:c>
      <x:c r="J32" s="35" t="n">
        <x:v>0.1213078376657399</x:v>
      </x:c>
      <x:c r="K32" s="39" t="n">
        <x:f>IFERROR(ABS(G32-H32),"")</x:f>
        <x:v>1.0698282950329923</x:v>
      </x:c>
      <x:c r="L32" s="39" t="n">
        <x:f>IFERROR(ABS(G32-I32),"")</x:f>
        <x:v>1.0994249487902945</x:v>
      </x:c>
      <x:c r="M32" s="35" t="n">
        <x:f>IFERROR(G32*J32,"")</x:f>
        <x:v>0.0010672318278192306</x:v>
      </x:c>
      <x:c r="N32" s="19" t="str">
        <x:f>IF(ABS(J32)&lt;=0.05,"Weak or Uncertain History",IF(J32&gt;0,"Historically Better With More","Historically Better With Less"))</x:f>
        <x:v>Historically Better With More</x:v>
      </x:c>
    </x:row>
    <x:row r="33" ht="23" customHeight="1">
      <x:c r="A33" s="20" t="str">
        <x:v>case_05|midfield_aggression</x:v>
      </x:c>
      <x:c r="B33" s="15" t="str">
        <x:v>case_05</x:v>
      </x:c>
      <x:c r="C33" s="15" t="str">
        <x:v>Philippe Coutinho</x:v>
      </x:c>
      <x:c r="D33" s="15" t="str">
        <x:v>Aston Villa</x:v>
      </x:c>
      <x:c r="E33" s="15" t="str">
        <x:v>midfield_aggression</x:v>
      </x:c>
      <x:c r="F33" s="15" t="str">
        <x:v>Midfield aggression</x:v>
      </x:c>
      <x:c r="G33" s="40" t="n">
        <x:v>0.0119799753718856</x:v>
      </x:c>
      <x:c r="H33" s="40" t="n">
        <x:v>0.2971850359220438</x:v>
      </x:c>
      <x:c r="I33" s="40" t="n">
        <x:v>0.3127345693227568</x:v>
      </x:c>
      <x:c r="J33" s="36" t="n">
        <x:v>0.6882804306136466</x:v>
      </x:c>
      <x:c r="K33" s="40" t="n">
        <x:f>IFERROR(ABS(G33-H33),"")</x:f>
        <x:v>0.2852050605501582</x:v>
      </x:c>
      <x:c r="L33" s="40" t="n">
        <x:f>IFERROR(ABS(G33-I33),"")</x:f>
        <x:v>0.3007545939508712</x:v>
      </x:c>
      <x:c r="M33" s="36" t="n">
        <x:f>IFERROR(G33*J33,"")</x:f>
        <x:v>0.008245582607702303</x:v>
      </x:c>
      <x:c r="N33" s="20" t="str">
        <x:f>IF(ABS(J33)&lt;=0.05,"Weak or Uncertain History",IF(J33&gt;0,"Historically Better With More","Historically Better With Less"))</x:f>
        <x:v>Historically Better With More</x:v>
      </x:c>
    </x:row>
    <x:row r="34" ht="23" customHeight="1">
      <x:c r="A34" s="19" t="str">
        <x:v>case_05|midfield_creativity</x:v>
      </x:c>
      <x:c r="B34" s="17" t="str">
        <x:v>case_05</x:v>
      </x:c>
      <x:c r="C34" s="17" t="str">
        <x:v>Philippe Coutinho</x:v>
      </x:c>
      <x:c r="D34" s="17" t="str">
        <x:v>Aston Villa</x:v>
      </x:c>
      <x:c r="E34" s="17" t="str">
        <x:v>midfield_creativity</x:v>
      </x:c>
      <x:c r="F34" s="17" t="str">
        <x:v>Midfield creativity</x:v>
      </x:c>
      <x:c r="G34" s="39" t="n">
        <x:v>0.0682638677392972</x:v>
      </x:c>
      <x:c r="H34" s="39" t="n">
        <x:v>0.2436418927418674</x:v>
      </x:c>
      <x:c r="I34" s="39" t="n">
        <x:v>0.2942469503891493</x:v>
      </x:c>
      <x:c r="J34" s="35" t="n">
        <x:v>0.3176932544296305</x:v>
      </x:c>
      <x:c r="K34" s="39" t="n">
        <x:f>IFERROR(ABS(G34-H34),"")</x:f>
        <x:v>0.17537802500257021</x:v>
      </x:c>
      <x:c r="L34" s="39" t="n">
        <x:f>IFERROR(ABS(G34-I34),"")</x:f>
        <x:v>0.22598308264985206</x:v>
      </x:c>
      <x:c r="M34" s="35" t="n">
        <x:f>IFERROR(G34*J34,"")</x:f>
        <x:v>0.02168697030205119</x:v>
      </x:c>
      <x:c r="N34" s="19" t="str">
        <x:f>IF(ABS(J34)&lt;=0.05,"Weak or Uncertain History",IF(J34&gt;0,"Historically Better With More","Historically Better With Less"))</x:f>
        <x:v>Historically Better With More</x:v>
      </x:c>
    </x:row>
    <x:row r="35" ht="23" customHeight="1">
      <x:c r="A35" s="20" t="str">
        <x:v>case_05|team_passing_control</x:v>
      </x:c>
      <x:c r="B35" s="15" t="str">
        <x:v>case_05</x:v>
      </x:c>
      <x:c r="C35" s="15" t="str">
        <x:v>Philippe Coutinho</x:v>
      </x:c>
      <x:c r="D35" s="15" t="str">
        <x:v>Aston Villa</x:v>
      </x:c>
      <x:c r="E35" s="15" t="str">
        <x:v>team_passing_control</x:v>
      </x:c>
      <x:c r="F35" s="15" t="str">
        <x:v>Team passing control</x:v>
      </x:c>
      <x:c r="G35" s="40" t="n">
        <x:v>-0.117910513296269</x:v>
      </x:c>
      <x:c r="H35" s="40" t="n">
        <x:v>0.6483788032049154</x:v>
      </x:c>
      <x:c r="I35" s="40" t="n">
        <x:v>0.6674581328333938</x:v>
      </x:c>
      <x:c r="J35" s="36" t="n">
        <x:v>0.2239758215977883</x:v>
      </x:c>
      <x:c r="K35" s="40" t="n">
        <x:f>IFERROR(ABS(G35-H35),"")</x:f>
        <x:v>0.7662893165011844</x:v>
      </x:c>
      <x:c r="L35" s="40" t="n">
        <x:f>IFERROR(ABS(G35-I35),"")</x:f>
        <x:v>0.7853686461296628</x:v>
      </x:c>
      <x:c r="M35" s="36" t="n">
        <x:f>IFERROR(G35*J35,"")</x:f>
        <x:v>-0.026409104090548793</x:v>
      </x:c>
      <x:c r="N35" s="20" t="str">
        <x:f>IF(ABS(J35)&lt;=0.05,"Weak or Uncertain History",IF(J35&gt;0,"Historically Better With More","Historically Better With Less"))</x:f>
        <x:v>Historically Better With More</x:v>
      </x:c>
    </x:row>
    <x:row r="36" ht="23" customHeight="1">
      <x:c r="A36" s="19" t="str">
        <x:v>case_09|defensive_intensity</x:v>
      </x:c>
      <x:c r="B36" s="17" t="str">
        <x:v>case_09</x:v>
      </x:c>
      <x:c r="C36" s="17" t="str">
        <x:v>Yayah Kallon</x:v>
      </x:c>
      <x:c r="D36" s="17" t="str">
        <x:v>Hellas Verona</x:v>
      </x:c>
      <x:c r="E36" s="17" t="str">
        <x:v>defensive_intensity</x:v>
      </x:c>
      <x:c r="F36" s="17" t="str">
        <x:v>Defensive intensity</x:v>
      </x:c>
      <x:c r="G36" s="39" t="n">
        <x:v>-0.0968695665156108</x:v>
      </x:c>
      <x:c r="H36" s="39"/>
      <x:c r="I36" s="39" t="n">
        <x:v>0.2308482645237716</x:v>
      </x:c>
      <x:c r="J36" s="35"/>
      <x:c r="K36" s="39" t="n">
        <x:f>IFERROR(ABS(G36-H36),"")</x:f>
        <x:v>0.0968695665156108</x:v>
      </x:c>
      <x:c r="L36" s="39" t="n">
        <x:f>IFERROR(ABS(G36-I36),"")</x:f>
        <x:v>0.3277178310393824</x:v>
      </x:c>
      <x:c r="M36" s="35" t="n">
        <x:f>IFERROR(G36*J36,"")</x:f>
        <x:v>0</x:v>
      </x:c>
      <x:c r="N36" s="19" t="str">
        <x:f>IF(ABS(J36)&lt;=0.05,"Weak or Uncertain History",IF(J36&gt;0,"Historically Better With More","Historically Better With Less"))</x:f>
        <x:v>Weak or Uncertain History</x:v>
      </x:c>
    </x:row>
    <x:row r="37" ht="23" customHeight="1">
      <x:c r="A37" s="20" t="str">
        <x:v>case_09|forward_mobility</x:v>
      </x:c>
      <x:c r="B37" s="15" t="str">
        <x:v>case_09</x:v>
      </x:c>
      <x:c r="C37" s="15" t="str">
        <x:v>Yayah Kallon</x:v>
      </x:c>
      <x:c r="D37" s="15" t="str">
        <x:v>Hellas Verona</x:v>
      </x:c>
      <x:c r="E37" s="15" t="str">
        <x:v>forward_mobility</x:v>
      </x:c>
      <x:c r="F37" s="15" t="str">
        <x:v>Forward mobility</x:v>
      </x:c>
      <x:c r="G37" s="40" t="n">
        <x:v>-0.2965858715190899</x:v>
      </x:c>
      <x:c r="H37" s="40"/>
      <x:c r="I37" s="40" t="n">
        <x:v>-0.336400949196995</x:v>
      </x:c>
      <x:c r="J37" s="36"/>
      <x:c r="K37" s="40" t="n">
        <x:f>IFERROR(ABS(G37-H37),"")</x:f>
        <x:v>0.2965858715190899</x:v>
      </x:c>
      <x:c r="L37" s="40" t="n">
        <x:f>IFERROR(ABS(G37-I37),"")</x:f>
        <x:v>0.0398150776779051</x:v>
      </x:c>
      <x:c r="M37" s="36" t="n">
        <x:f>IFERROR(G37*J37,"")</x:f>
        <x:v>0</x:v>
      </x:c>
      <x:c r="N37" s="20" t="str">
        <x:f>IF(ABS(J37)&lt;=0.05,"Weak or Uncertain History",IF(J37&gt;0,"Historically Better With More","Historically Better With Less"))</x:f>
        <x:v>Weak or Uncertain History</x:v>
      </x:c>
    </x:row>
    <x:row r="38" ht="23" customHeight="1">
      <x:c r="A38" s="19" t="str">
        <x:v>case_09|forward_threat</x:v>
      </x:c>
      <x:c r="B38" s="17" t="str">
        <x:v>case_09</x:v>
      </x:c>
      <x:c r="C38" s="17" t="str">
        <x:v>Yayah Kallon</x:v>
      </x:c>
      <x:c r="D38" s="17" t="str">
        <x:v>Hellas Verona</x:v>
      </x:c>
      <x:c r="E38" s="17" t="str">
        <x:v>forward_threat</x:v>
      </x:c>
      <x:c r="F38" s="17" t="str">
        <x:v>Forward threat</x:v>
      </x:c>
      <x:c r="G38" s="39" t="n">
        <x:v>0.5652165102453317</x:v>
      </x:c>
      <x:c r="H38" s="39"/>
      <x:c r="I38" s="39" t="n">
        <x:v>-0.40517396253988</x:v>
      </x:c>
      <x:c r="J38" s="35"/>
      <x:c r="K38" s="39" t="n">
        <x:f>IFERROR(ABS(G38-H38),"")</x:f>
        <x:v>0.5652165102453317</x:v>
      </x:c>
      <x:c r="L38" s="39" t="n">
        <x:f>IFERROR(ABS(G38-I38),"")</x:f>
        <x:v>0.9703904727852117</x:v>
      </x:c>
      <x:c r="M38" s="35" t="n">
        <x:f>IFERROR(G38*J38,"")</x:f>
        <x:v>0</x:v>
      </x:c>
      <x:c r="N38" s="19" t="str">
        <x:f>IF(ABS(J38)&lt;=0.05,"Weak or Uncertain History",IF(J38&gt;0,"Historically Better With More","Historically Better With Less"))</x:f>
        <x:v>Weak or Uncertain History</x:v>
      </x:c>
    </x:row>
    <x:row r="39" ht="23" customHeight="1">
      <x:c r="A39" s="20" t="str">
        <x:v>case_09|midfield_aggression</x:v>
      </x:c>
      <x:c r="B39" s="15" t="str">
        <x:v>case_09</x:v>
      </x:c>
      <x:c r="C39" s="15" t="str">
        <x:v>Yayah Kallon</x:v>
      </x:c>
      <x:c r="D39" s="15" t="str">
        <x:v>Hellas Verona</x:v>
      </x:c>
      <x:c r="E39" s="15" t="str">
        <x:v>midfield_aggression</x:v>
      </x:c>
      <x:c r="F39" s="15" t="str">
        <x:v>Midfield aggression</x:v>
      </x:c>
      <x:c r="G39" s="40" t="n">
        <x:v>0.0716697449188107</x:v>
      </x:c>
      <x:c r="H39" s="40"/>
      <x:c r="I39" s="40" t="n">
        <x:v>-0.2219049622782968</x:v>
      </x:c>
      <x:c r="J39" s="36"/>
      <x:c r="K39" s="40" t="n">
        <x:f>IFERROR(ABS(G39-H39),"")</x:f>
        <x:v>0.0716697449188107</x:v>
      </x:c>
      <x:c r="L39" s="40" t="n">
        <x:f>IFERROR(ABS(G39-I39),"")</x:f>
        <x:v>0.29357470719710754</x:v>
      </x:c>
      <x:c r="M39" s="36" t="n">
        <x:f>IFERROR(G39*J39,"")</x:f>
        <x:v>0</x:v>
      </x:c>
      <x:c r="N39" s="20" t="str">
        <x:f>IF(ABS(J39)&lt;=0.05,"Weak or Uncertain History",IF(J39&gt;0,"Historically Better With More","Historically Better With Less"))</x:f>
        <x:v>Weak or Uncertain History</x:v>
      </x:c>
    </x:row>
    <x:row r="40" ht="23" customHeight="1">
      <x:c r="A40" s="19" t="str">
        <x:v>case_09|midfield_creativity</x:v>
      </x:c>
      <x:c r="B40" s="17" t="str">
        <x:v>case_09</x:v>
      </x:c>
      <x:c r="C40" s="17" t="str">
        <x:v>Yayah Kallon</x:v>
      </x:c>
      <x:c r="D40" s="17" t="str">
        <x:v>Hellas Verona</x:v>
      </x:c>
      <x:c r="E40" s="17" t="str">
        <x:v>midfield_creativity</x:v>
      </x:c>
      <x:c r="F40" s="17" t="str">
        <x:v>Midfield creativity</x:v>
      </x:c>
      <x:c r="G40" s="39" t="n">
        <x:v>0.2309408208345627</x:v>
      </x:c>
      <x:c r="H40" s="39"/>
      <x:c r="I40" s="39" t="n">
        <x:v>-0.2834034918908178</x:v>
      </x:c>
      <x:c r="J40" s="35"/>
      <x:c r="K40" s="39" t="n">
        <x:f>IFERROR(ABS(G40-H40),"")</x:f>
        <x:v>0.2309408208345627</x:v>
      </x:c>
      <x:c r="L40" s="39" t="n">
        <x:f>IFERROR(ABS(G40-I40),"")</x:f>
        <x:v>0.5143443127253805</x:v>
      </x:c>
      <x:c r="M40" s="35" t="n">
        <x:f>IFERROR(G40*J40,"")</x:f>
        <x:v>0</x:v>
      </x:c>
      <x:c r="N40" s="19" t="str">
        <x:f>IF(ABS(J40)&lt;=0.05,"Weak or Uncertain History",IF(J40&gt;0,"Historically Better With More","Historically Better With Less"))</x:f>
        <x:v>Weak or Uncertain History</x:v>
      </x:c>
    </x:row>
    <x:row r="41" ht="23" customHeight="1">
      <x:c r="A41" s="20" t="str">
        <x:v>case_09|team_passing_control</x:v>
      </x:c>
      <x:c r="B41" s="15" t="str">
        <x:v>case_09</x:v>
      </x:c>
      <x:c r="C41" s="15" t="str">
        <x:v>Yayah Kallon</x:v>
      </x:c>
      <x:c r="D41" s="15" t="str">
        <x:v>Hellas Verona</x:v>
      </x:c>
      <x:c r="E41" s="15" t="str">
        <x:v>team_passing_control</x:v>
      </x:c>
      <x:c r="F41" s="15" t="str">
        <x:v>Team passing control</x:v>
      </x:c>
      <x:c r="G41" s="40" t="n">
        <x:v>-0.2118337997796689</x:v>
      </x:c>
      <x:c r="H41" s="40"/>
      <x:c r="I41" s="40" t="n">
        <x:v>-0.3965251874984546</x:v>
      </x:c>
      <x:c r="J41" s="36"/>
      <x:c r="K41" s="40" t="n">
        <x:f>IFERROR(ABS(G41-H41),"")</x:f>
        <x:v>0.2118337997796689</x:v>
      </x:c>
      <x:c r="L41" s="40" t="n">
        <x:f>IFERROR(ABS(G41-I41),"")</x:f>
        <x:v>0.1846913877187857</x:v>
      </x:c>
      <x:c r="M41" s="36" t="n">
        <x:f>IFERROR(G41*J41,"")</x:f>
        <x:v>0</x:v>
      </x:c>
      <x:c r="N41" s="20" t="str">
        <x:f>IF(ABS(J41)&lt;=0.05,"Weak or Uncertain History",IF(J41&gt;0,"Historically Better With More","Historically Better With Less"))</x:f>
        <x:v>Weak or Uncertain History</x:v>
      </x:c>
    </x:row>
    <x:row r="42" ht="23" customHeight="1">
      <x:c r="A42" s="19" t="str">
        <x:v>case_02|defensive_intensity</x:v>
      </x:c>
      <x:c r="B42" s="17" t="str">
        <x:v>case_02</x:v>
      </x:c>
      <x:c r="C42" s="17" t="str">
        <x:v>Óscar Rodríguez Arnaiz</x:v>
      </x:c>
      <x:c r="D42" s="17" t="str">
        <x:v>Celta de Vigo</x:v>
      </x:c>
      <x:c r="E42" s="17" t="str">
        <x:v>defensive_intensity</x:v>
      </x:c>
      <x:c r="F42" s="17" t="str">
        <x:v>Defensive intensity</x:v>
      </x:c>
      <x:c r="G42" s="39" t="n">
        <x:v>-0.0557199902970088</x:v>
      </x:c>
      <x:c r="H42" s="39" t="n">
        <x:v>-0.137112418799539</x:v>
      </x:c>
      <x:c r="I42" s="39" t="n">
        <x:v>-0.1315392822659684</x:v>
      </x:c>
      <x:c r="J42" s="35" t="n">
        <x:v>0.3115406745377652</x:v>
      </x:c>
      <x:c r="K42" s="39" t="n">
        <x:f>IFERROR(ABS(G42-H42),"")</x:f>
        <x:v>0.0813924285025302</x:v>
      </x:c>
      <x:c r="L42" s="39" t="n">
        <x:f>IFERROR(ABS(G42-I42),"")</x:f>
        <x:v>0.07581929196895959</x:v>
      </x:c>
      <x:c r="M42" s="35" t="n">
        <x:f>IFERROR(G42*J42,"")</x:f>
        <x:v>-0.017359043362367852</x:v>
      </x:c>
      <x:c r="N42" s="19" t="str">
        <x:f>IF(ABS(J42)&lt;=0.05,"Weak or Uncertain History",IF(J42&gt;0,"Historically Better With More","Historically Better With Less"))</x:f>
        <x:v>Historically Better With More</x:v>
      </x:c>
    </x:row>
    <x:row r="43" ht="23" customHeight="1">
      <x:c r="A43" s="20" t="str">
        <x:v>case_02|forward_mobility</x:v>
      </x:c>
      <x:c r="B43" s="15" t="str">
        <x:v>case_02</x:v>
      </x:c>
      <x:c r="C43" s="15" t="str">
        <x:v>Óscar Rodríguez Arnaiz</x:v>
      </x:c>
      <x:c r="D43" s="15" t="str">
        <x:v>Celta de Vigo</x:v>
      </x:c>
      <x:c r="E43" s="15" t="str">
        <x:v>forward_mobility</x:v>
      </x:c>
      <x:c r="F43" s="15" t="str">
        <x:v>Forward mobility</x:v>
      </x:c>
      <x:c r="G43" s="40" t="n">
        <x:v>-0.1522479488550249</x:v>
      </x:c>
      <x:c r="H43" s="40" t="n">
        <x:v>-0.319691063373024</x:v>
      </x:c>
      <x:c r="I43" s="40" t="n">
        <x:v>-0.322864756238482</x:v>
      </x:c>
      <x:c r="J43" s="36" t="n">
        <x:v>-0.1851421150441351</x:v>
      </x:c>
      <x:c r="K43" s="40" t="n">
        <x:f>IFERROR(ABS(G43-H43),"")</x:f>
        <x:v>0.1674431145179991</x:v>
      </x:c>
      <x:c r="L43" s="40" t="n">
        <x:f>IFERROR(ABS(G43-I43),"")</x:f>
        <x:v>0.17061680738345708</x:v>
      </x:c>
      <x:c r="M43" s="36" t="n">
        <x:f>IFERROR(G43*J43,"")</x:f>
        <x:v>0.028187507262150618</x:v>
      </x:c>
      <x:c r="N43" s="20" t="str">
        <x:f>IF(ABS(J43)&lt;=0.05,"Weak or Uncertain History",IF(J43&gt;0,"Historically Better With More","Historically Better With Less"))</x:f>
        <x:v>Historically Better With Less</x:v>
      </x:c>
    </x:row>
    <x:row r="44" ht="23" customHeight="1">
      <x:c r="A44" s="19" t="str">
        <x:v>case_02|forward_threat</x:v>
      </x:c>
      <x:c r="B44" s="17" t="str">
        <x:v>case_02</x:v>
      </x:c>
      <x:c r="C44" s="17" t="str">
        <x:v>Óscar Rodríguez Arnaiz</x:v>
      </x:c>
      <x:c r="D44" s="17" t="str">
        <x:v>Celta de Vigo</x:v>
      </x:c>
      <x:c r="E44" s="17" t="str">
        <x:v>forward_threat</x:v>
      </x:c>
      <x:c r="F44" s="17" t="str">
        <x:v>Forward threat</x:v>
      </x:c>
      <x:c r="G44" s="39" t="n">
        <x:v>0.1574721088693985</x:v>
      </x:c>
      <x:c r="H44" s="39" t="n">
        <x:v>-0.0497454225209828</x:v>
      </x:c>
      <x:c r="I44" s="39" t="n">
        <x:v>-0.0488079523469584</x:v>
      </x:c>
      <x:c r="J44" s="35" t="n">
        <x:v>0.1023283247639839</x:v>
      </x:c>
      <x:c r="K44" s="39" t="n">
        <x:f>IFERROR(ABS(G44-H44),"")</x:f>
        <x:v>0.2072175313903813</x:v>
      </x:c>
      <x:c r="L44" s="39" t="n">
        <x:f>IFERROR(ABS(G44-I44),"")</x:f>
        <x:v>0.2062800612163569</x:v>
      </x:c>
      <x:c r="M44" s="35" t="n">
        <x:f>IFERROR(G44*J44,"")</x:f>
        <x:v>0.01611385709765724</x:v>
      </x:c>
      <x:c r="N44" s="19" t="str">
        <x:f>IF(ABS(J44)&lt;=0.05,"Weak or Uncertain History",IF(J44&gt;0,"Historically Better With More","Historically Better With Less"))</x:f>
        <x:v>Historically Better With More</x:v>
      </x:c>
    </x:row>
    <x:row r="45" ht="23" customHeight="1">
      <x:c r="A45" s="20" t="str">
        <x:v>case_02|midfield_aggression</x:v>
      </x:c>
      <x:c r="B45" s="15" t="str">
        <x:v>case_02</x:v>
      </x:c>
      <x:c r="C45" s="15" t="str">
        <x:v>Óscar Rodríguez Arnaiz</x:v>
      </x:c>
      <x:c r="D45" s="15" t="str">
        <x:v>Celta de Vigo</x:v>
      </x:c>
      <x:c r="E45" s="15" t="str">
        <x:v>midfield_aggression</x:v>
      </x:c>
      <x:c r="F45" s="15" t="str">
        <x:v>Midfield aggression</x:v>
      </x:c>
      <x:c r="G45" s="40" t="n">
        <x:v>-0.0560044902674491</x:v>
      </x:c>
      <x:c r="H45" s="40" t="n">
        <x:v>-0.2183516015619306</x:v>
      </x:c>
      <x:c r="I45" s="40" t="n">
        <x:v>-0.2148393736158228</x:v>
      </x:c>
      <x:c r="J45" s="36" t="n">
        <x:v>0.2583809448569457</x:v>
      </x:c>
      <x:c r="K45" s="40" t="n">
        <x:f>IFERROR(ABS(G45-H45),"")</x:f>
        <x:v>0.16234711129448148</x:v>
      </x:c>
      <x:c r="L45" s="40" t="n">
        <x:f>IFERROR(ABS(G45-I45),"")</x:f>
        <x:v>0.1588348833483737</x:v>
      </x:c>
      <x:c r="M45" s="36" t="n">
        <x:f>IFERROR(G45*J45,"")</x:f>
        <x:v>-0.014470493111535117</x:v>
      </x:c>
      <x:c r="N45" s="20" t="str">
        <x:f>IF(ABS(J45)&lt;=0.05,"Weak or Uncertain History",IF(J45&gt;0,"Historically Better With More","Historically Better With Less"))</x:f>
        <x:v>Historically Better With More</x:v>
      </x:c>
    </x:row>
    <x:row r="46" ht="23" customHeight="1">
      <x:c r="A46" s="19" t="str">
        <x:v>case_02|midfield_creativity</x:v>
      </x:c>
      <x:c r="B46" s="17" t="str">
        <x:v>case_02</x:v>
      </x:c>
      <x:c r="C46" s="17" t="str">
        <x:v>Óscar Rodríguez Arnaiz</x:v>
      </x:c>
      <x:c r="D46" s="17" t="str">
        <x:v>Celta de Vigo</x:v>
      </x:c>
      <x:c r="E46" s="17" t="str">
        <x:v>midfield_creativity</x:v>
      </x:c>
      <x:c r="F46" s="17" t="str">
        <x:v>Midfield creativity</x:v>
      </x:c>
      <x:c r="G46" s="39" t="n">
        <x:v>-0.1786201432963745</x:v>
      </x:c>
      <x:c r="H46" s="39" t="n">
        <x:v>-0.3573023229761142</x:v>
      </x:c>
      <x:c r="I46" s="39" t="n">
        <x:v>-0.3558770126446761</x:v>
      </x:c>
      <x:c r="J46" s="35" t="n">
        <x:v>0.046340698313483</x:v>
      </x:c>
      <x:c r="K46" s="39" t="n">
        <x:f>IFERROR(ABS(G46-H46),"")</x:f>
        <x:v>0.1786821796797397</x:v>
      </x:c>
      <x:c r="L46" s="39" t="n">
        <x:f>IFERROR(ABS(G46-I46),"")</x:f>
        <x:v>0.1772568693483016</x:v>
      </x:c>
      <x:c r="M46" s="35" t="n">
        <x:f>IFERROR(G46*J46,"")</x:f>
        <x:v>-0.008277382173208394</x:v>
      </x:c>
      <x:c r="N46" s="19" t="str">
        <x:f>IF(ABS(J46)&lt;=0.05,"Weak or Uncertain History",IF(J46&gt;0,"Historically Better With More","Historically Better With Less"))</x:f>
        <x:v>Weak or Uncertain History</x:v>
      </x:c>
    </x:row>
    <x:row r="47" ht="23" customHeight="1">
      <x:c r="A47" s="20" t="str">
        <x:v>case_02|team_passing_control</x:v>
      </x:c>
      <x:c r="B47" s="15" t="str">
        <x:v>case_02</x:v>
      </x:c>
      <x:c r="C47" s="15" t="str">
        <x:v>Óscar Rodríguez Arnaiz</x:v>
      </x:c>
      <x:c r="D47" s="15" t="str">
        <x:v>Celta de Vigo</x:v>
      </x:c>
      <x:c r="E47" s="15" t="str">
        <x:v>team_passing_control</x:v>
      </x:c>
      <x:c r="F47" s="15" t="str">
        <x:v>Team passing control</x:v>
      </x:c>
      <x:c r="G47" s="40" t="n">
        <x:v>0.1472986682953221</x:v>
      </x:c>
      <x:c r="H47" s="40" t="n">
        <x:v>-0.2775714143410307</x:v>
      </x:c>
      <x:c r="I47" s="40" t="n">
        <x:v>-0.2832737508930903</x:v>
      </x:c>
      <x:c r="J47" s="36" t="n">
        <x:v>-0.0649453198390737</x:v>
      </x:c>
      <x:c r="K47" s="40" t="n">
        <x:f>IFERROR(ABS(G47-H47),"")</x:f>
        <x:v>0.42487008263635284</x:v>
      </x:c>
      <x:c r="L47" s="40" t="n">
        <x:f>IFERROR(ABS(G47-I47),"")</x:f>
        <x:v>0.4305724191884124</x:v>
      </x:c>
      <x:c r="M47" s="36" t="n">
        <x:f>IFERROR(G47*J47,"")</x:f>
        <x:v>-0.009566359124309318</x:v>
      </x:c>
      <x:c r="N47" s="20" t="str">
        <x:f>IF(ABS(J47)&lt;=0.05,"Weak or Uncertain History",IF(J47&gt;0,"Historically Better With More","Historically Better With Less"))</x:f>
        <x:v>Historically Better With Less</x:v>
      </x:c>
    </x:row>
    <x:row r="48" ht="23" customHeight="1">
      <x:c r="A48" s="19" t="str">
        <x:v>case_12|defensive_intensity</x:v>
      </x:c>
      <x:c r="B48" s="17" t="str">
        <x:v>case_12</x:v>
      </x:c>
      <x:c r="C48" s="17" t="str">
        <x:v>Antonio Candreva</x:v>
      </x:c>
      <x:c r="D48" s="17" t="str">
        <x:v>US Salernitana 1919</x:v>
      </x:c>
      <x:c r="E48" s="17" t="str">
        <x:v>defensive_intensity</x:v>
      </x:c>
      <x:c r="F48" s="17" t="str">
        <x:v>Defensive intensity</x:v>
      </x:c>
      <x:c r="G48" s="39" t="n">
        <x:v>-0.0565630398179949</x:v>
      </x:c>
      <x:c r="H48" s="39" t="n">
        <x:v>-0.0460762746399261</x:v>
      </x:c>
      <x:c r="I48" s="39" t="n">
        <x:v>-0.039144872941844</x:v>
      </x:c>
      <x:c r="J48" s="35" t="n">
        <x:v>0.8004164046498469</x:v>
      </x:c>
      <x:c r="K48" s="39" t="n">
        <x:f>IFERROR(ABS(G48-H48),"")</x:f>
        <x:v>0.010486765178068805</x:v>
      </x:c>
      <x:c r="L48" s="39" t="n">
        <x:f>IFERROR(ABS(G48-I48),"")</x:f>
        <x:v>0.0174181668761509</x:v>
      </x:c>
      <x:c r="M48" s="35" t="n">
        <x:f>IFERROR(G48*J48,"")</x:f>
        <x:v>-0.04527398496718561</x:v>
      </x:c>
      <x:c r="N48" s="19" t="str">
        <x:f>IF(ABS(J48)&lt;=0.05,"Weak or Uncertain History",IF(J48&gt;0,"Historically Better With More","Historically Better With Less"))</x:f>
        <x:v>Historically Better With More</x:v>
      </x:c>
    </x:row>
    <x:row r="49" ht="23" customHeight="1">
      <x:c r="A49" s="20" t="str">
        <x:v>case_12|forward_mobility</x:v>
      </x:c>
      <x:c r="B49" s="15" t="str">
        <x:v>case_12</x:v>
      </x:c>
      <x:c r="C49" s="15" t="str">
        <x:v>Antonio Candreva</x:v>
      </x:c>
      <x:c r="D49" s="15" t="str">
        <x:v>US Salernitana 1919</x:v>
      </x:c>
      <x:c r="E49" s="15" t="str">
        <x:v>forward_mobility</x:v>
      </x:c>
      <x:c r="F49" s="15" t="str">
        <x:v>Forward mobility</x:v>
      </x:c>
      <x:c r="G49" s="40" t="n">
        <x:v>-0.36502556591132</x:v>
      </x:c>
      <x:c r="H49" s="40" t="n">
        <x:v>-0.1821239530238459</x:v>
      </x:c>
      <x:c r="I49" s="40" t="n">
        <x:v>-0.1762624905754783</x:v>
      </x:c>
      <x:c r="J49" s="36" t="n">
        <x:v>0.146240059727878</x:v>
      </x:c>
      <x:c r="K49" s="40" t="n">
        <x:f>IFERROR(ABS(G49-H49),"")</x:f>
        <x:v>0.1829016128874741</x:v>
      </x:c>
      <x:c r="L49" s="40" t="n">
        <x:f>IFERROR(ABS(G49-I49),"")</x:f>
        <x:v>0.18876307533584172</x:v>
      </x:c>
      <x:c r="M49" s="36" t="n">
        <x:f>IFERROR(G49*J49,"")</x:f>
        <x:v>-0.05338136056107391</x:v>
      </x:c>
      <x:c r="N49" s="20" t="str">
        <x:f>IF(ABS(J49)&lt;=0.05,"Weak or Uncertain History",IF(J49&gt;0,"Historically Better With More","Historically Better With Less"))</x:f>
        <x:v>Historically Better With More</x:v>
      </x:c>
    </x:row>
    <x:row r="50" ht="23" customHeight="1">
      <x:c r="A50" s="19" t="str">
        <x:v>case_12|forward_threat</x:v>
      </x:c>
      <x:c r="B50" s="17" t="str">
        <x:v>case_12</x:v>
      </x:c>
      <x:c r="C50" s="17" t="str">
        <x:v>Antonio Candreva</x:v>
      </x:c>
      <x:c r="D50" s="17" t="str">
        <x:v>US Salernitana 1919</x:v>
      </x:c>
      <x:c r="E50" s="17" t="str">
        <x:v>forward_threat</x:v>
      </x:c>
      <x:c r="F50" s="17" t="str">
        <x:v>Forward threat</x:v>
      </x:c>
      <x:c r="G50" s="39" t="n">
        <x:v>0.0016175148291453</x:v>
      </x:c>
      <x:c r="H50" s="39" t="n">
        <x:v>0.2869822307213782</x:v>
      </x:c>
      <x:c r="I50" s="39" t="n">
        <x:v>0.2808880186932632</x:v>
      </x:c>
      <x:c r="J50" s="35" t="n">
        <x:v>-0.0780017444458668</x:v>
      </x:c>
      <x:c r="K50" s="39" t="n">
        <x:f>IFERROR(ABS(G50-H50),"")</x:f>
        <x:v>0.2853647158922329</x:v>
      </x:c>
      <x:c r="L50" s="39" t="n">
        <x:f>IFERROR(ABS(G50-I50),"")</x:f>
        <x:v>0.2792705038641179</x:v>
      </x:c>
      <x:c r="M50" s="35" t="n">
        <x:f>IFERROR(G50*J50,"")</x:f>
        <x:v>-0.0001261689783403916</x:v>
      </x:c>
      <x:c r="N50" s="19" t="str">
        <x:f>IF(ABS(J50)&lt;=0.05,"Weak or Uncertain History",IF(J50&gt;0,"Historically Better With More","Historically Better With Less"))</x:f>
        <x:v>Historically Better With Less</x:v>
      </x:c>
    </x:row>
    <x:row r="51" ht="23" customHeight="1">
      <x:c r="A51" s="20" t="str">
        <x:v>case_12|midfield_aggression</x:v>
      </x:c>
      <x:c r="B51" s="15" t="str">
        <x:v>case_12</x:v>
      </x:c>
      <x:c r="C51" s="15" t="str">
        <x:v>Antonio Candreva</x:v>
      </x:c>
      <x:c r="D51" s="15" t="str">
        <x:v>US Salernitana 1919</x:v>
      </x:c>
      <x:c r="E51" s="15" t="str">
        <x:v>midfield_aggression</x:v>
      </x:c>
      <x:c r="F51" s="15" t="str">
        <x:v>Midfield aggression</x:v>
      </x:c>
      <x:c r="G51" s="40" t="n">
        <x:v>-0.3178407971338197</x:v>
      </x:c>
      <x:c r="H51" s="40" t="n">
        <x:v>-0.0726551617442073</x:v>
      </x:c>
      <x:c r="I51" s="40" t="n">
        <x:v>-0.0781237319605359</x:v>
      </x:c>
      <x:c r="J51" s="36" t="n">
        <x:v>-0.0747986643803997</x:v>
      </x:c>
      <x:c r="K51" s="40" t="n">
        <x:f>IFERROR(ABS(G51-H51),"")</x:f>
        <x:v>0.24518563538961238</x:v>
      </x:c>
      <x:c r="L51" s="40" t="n">
        <x:f>IFERROR(ABS(G51-I51),"")</x:f>
        <x:v>0.23971706517328378</x:v>
      </x:c>
      <x:c r="M51" s="36" t="n">
        <x:f>IFERROR(G51*J51,"")</x:f>
        <x:v>0.023774067111211286</x:v>
      </x:c>
      <x:c r="N51" s="20" t="str">
        <x:f>IF(ABS(J51)&lt;=0.05,"Weak or Uncertain History",IF(J51&gt;0,"Historically Better With More","Historically Better With Less"))</x:f>
        <x:v>Historically Better With Less</x:v>
      </x:c>
    </x:row>
    <x:row r="52" ht="23" customHeight="1">
      <x:c r="A52" s="19" t="str">
        <x:v>case_12|midfield_creativity</x:v>
      </x:c>
      <x:c r="B52" s="17" t="str">
        <x:v>case_12</x:v>
      </x:c>
      <x:c r="C52" s="17" t="str">
        <x:v>Antonio Candreva</x:v>
      </x:c>
      <x:c r="D52" s="17" t="str">
        <x:v>US Salernitana 1919</x:v>
      </x:c>
      <x:c r="E52" s="17" t="str">
        <x:v>midfield_creativity</x:v>
      </x:c>
      <x:c r="F52" s="17" t="str">
        <x:v>Midfield creativity</x:v>
      </x:c>
      <x:c r="G52" s="39" t="n">
        <x:v>-0.3713690839462032</x:v>
      </x:c>
      <x:c r="H52" s="39" t="n">
        <x:v>-0.1171281031290421</x:v>
      </x:c>
      <x:c r="I52" s="39" t="n">
        <x:v>-0.1216340544324992</x:v>
      </x:c>
      <x:c r="J52" s="35" t="n">
        <x:v>-0.0549837301112002</x:v>
      </x:c>
      <x:c r="K52" s="39" t="n">
        <x:f>IFERROR(ABS(G52-H52),"")</x:f>
        <x:v>0.2542409808171611</x:v>
      </x:c>
      <x:c r="L52" s="39" t="n">
        <x:f>IFERROR(ABS(G52-I52),"")</x:f>
        <x:v>0.24973502951370402</x:v>
      </x:c>
      <x:c r="M52" s="35" t="n">
        <x:f>IFERROR(G52*J52,"")</x:f>
        <x:v>0.02041925748334169</x:v>
      </x:c>
      <x:c r="N52" s="19" t="str">
        <x:f>IF(ABS(J52)&lt;=0.05,"Weak or Uncertain History",IF(J52&gt;0,"Historically Better With More","Historically Better With Less"))</x:f>
        <x:v>Historically Better With Less</x:v>
      </x:c>
    </x:row>
    <x:row r="53" ht="23" customHeight="1">
      <x:c r="A53" s="20" t="str">
        <x:v>case_12|team_passing_control</x:v>
      </x:c>
      <x:c r="B53" s="15" t="str">
        <x:v>case_12</x:v>
      </x:c>
      <x:c r="C53" s="15" t="str">
        <x:v>Antonio Candreva</x:v>
      </x:c>
      <x:c r="D53" s="15" t="str">
        <x:v>US Salernitana 1919</x:v>
      </x:c>
      <x:c r="E53" s="15" t="str">
        <x:v>team_passing_control</x:v>
      </x:c>
      <x:c r="F53" s="15" t="str">
        <x:v>Team passing control</x:v>
      </x:c>
      <x:c r="G53" s="40" t="n">
        <x:v>-0.1214290998960055</x:v>
      </x:c>
      <x:c r="H53" s="40" t="n">
        <x:v>0.1125895579497757</x:v>
      </x:c>
      <x:c r="I53" s="40" t="n">
        <x:v>0.1103286474102361</x:v>
      </x:c>
      <x:c r="J53" s="36" t="n">
        <x:v>-0.0291153147361441</x:v>
      </x:c>
      <x:c r="K53" s="40" t="n">
        <x:f>IFERROR(ABS(G53-H53),"")</x:f>
        <x:v>0.23401865784578119</x:v>
      </x:c>
      <x:c r="L53" s="40" t="n">
        <x:f>IFERROR(ABS(G53-I53),"")</x:f>
        <x:v>0.2317577473062416</x:v>
      </x:c>
      <x:c r="M53" s="36" t="n">
        <x:f>IFERROR(G53*J53,"")</x:f>
        <x:v>0.003535446461598883</x:v>
      </x:c>
      <x:c r="N53" s="20" t="str">
        <x:f>IF(ABS(J53)&lt;=0.05,"Weak or Uncertain History",IF(J53&gt;0,"Historically Better With More","Historically Better With Less"))</x:f>
        <x:v>Weak or Uncertain History</x:v>
      </x:c>
    </x:row>
    <x:row r="54" ht="23" customHeight="1">
      <x:c r="A54" s="19" t="str">
        <x:v>case_08|defensive_intensity</x:v>
      </x:c>
      <x:c r="B54" s="17" t="str">
        <x:v>case_08</x:v>
      </x:c>
      <x:c r="C54" s="17" t="str">
        <x:v>Aridane Hernández</x:v>
      </x:c>
      <x:c r="D54" s="17" t="str">
        <x:v>Rayo Vallecano</x:v>
      </x:c>
      <x:c r="E54" s="17" t="str">
        <x:v>defensive_intensity</x:v>
      </x:c>
      <x:c r="F54" s="17" t="str">
        <x:v>Defensive intensity</x:v>
      </x:c>
      <x:c r="G54" s="39" t="n">
        <x:v>-0.2839003374646434</x:v>
      </x:c>
      <x:c r="H54" s="39" t="n">
        <x:v>-0.0283333479174012</x:v>
      </x:c>
      <x:c r="I54" s="39" t="n">
        <x:v>-0.0314533770449648</x:v>
      </x:c>
      <x:c r="J54" s="35" t="n">
        <x:v>-0.3601923292811566</x:v>
      </x:c>
      <x:c r="K54" s="39" t="n">
        <x:f>IFERROR(ABS(G54-H54),"")</x:f>
        <x:v>0.25556698954724216</x:v>
      </x:c>
      <x:c r="L54" s="39" t="n">
        <x:f>IFERROR(ABS(G54-I54),"")</x:f>
        <x:v>0.25244696041967857</x:v>
      </x:c>
      <x:c r="M54" s="35" t="n">
        <x:f>IFERROR(G54*J54,"")</x:f>
        <x:v>0.10225872383509631</x:v>
      </x:c>
      <x:c r="N54" s="19" t="str">
        <x:f>IF(ABS(J54)&lt;=0.05,"Weak or Uncertain History",IF(J54&gt;0,"Historically Better With More","Historically Better With Less"))</x:f>
        <x:v>Historically Better With Less</x:v>
      </x:c>
    </x:row>
    <x:row r="55" ht="23" customHeight="1">
      <x:c r="A55" s="20" t="str">
        <x:v>case_08|forward_mobility</x:v>
      </x:c>
      <x:c r="B55" s="15" t="str">
        <x:v>case_08</x:v>
      </x:c>
      <x:c r="C55" s="15" t="str">
        <x:v>Aridane Hernández</x:v>
      </x:c>
      <x:c r="D55" s="15" t="str">
        <x:v>Rayo Vallecano</x:v>
      </x:c>
      <x:c r="E55" s="15" t="str">
        <x:v>forward_mobility</x:v>
      </x:c>
      <x:c r="F55" s="15" t="str">
        <x:v>Forward mobility</x:v>
      </x:c>
      <x:c r="G55" s="40" t="n">
        <x:v>-0.2559004701264148</x:v>
      </x:c>
      <x:c r="H55" s="40" t="n">
        <x:v>-0.2104076630766884</x:v>
      </x:c>
      <x:c r="I55" s="40" t="n">
        <x:v>-0.2077069532486904</x:v>
      </x:c>
      <x:c r="J55" s="36" t="n">
        <x:v>0.1312359903171254</x:v>
      </x:c>
      <x:c r="K55" s="40" t="n">
        <x:f>IFERROR(ABS(G55-H55),"")</x:f>
        <x:v>0.045492807049726414</x:v>
      </x:c>
      <x:c r="L55" s="40" t="n">
        <x:f>IFERROR(ABS(G55-I55),"")</x:f>
        <x:v>0.04819351687772441</x:v>
      </x:c>
      <x:c r="M55" s="36" t="n">
        <x:f>IFERROR(G55*J55,"")</x:f>
        <x:v>-0.03358335161965802</x:v>
      </x:c>
      <x:c r="N55" s="20" t="str">
        <x:f>IF(ABS(J55)&lt;=0.05,"Weak or Uncertain History",IF(J55&gt;0,"Historically Better With More","Historically Better With Less"))</x:f>
        <x:v>Historically Better With More</x:v>
      </x:c>
    </x:row>
    <x:row r="56" ht="23" customHeight="1">
      <x:c r="A56" s="19" t="str">
        <x:v>case_08|forward_threat</x:v>
      </x:c>
      <x:c r="B56" s="17" t="str">
        <x:v>case_08</x:v>
      </x:c>
      <x:c r="C56" s="17" t="str">
        <x:v>Aridane Hernández</x:v>
      </x:c>
      <x:c r="D56" s="17" t="str">
        <x:v>Rayo Vallecano</x:v>
      </x:c>
      <x:c r="E56" s="17" t="str">
        <x:v>forward_threat</x:v>
      </x:c>
      <x:c r="F56" s="17" t="str">
        <x:v>Forward threat</x:v>
      </x:c>
      <x:c r="G56" s="39" t="n">
        <x:v>-0.2498690472165523</x:v>
      </x:c>
      <x:c r="H56" s="39" t="n">
        <x:v>-0.1068953073831751</x:v>
      </x:c>
      <x:c r="I56" s="39" t="n">
        <x:v>-0.1033006642477871</x:v>
      </x:c>
      <x:c r="J56" s="35" t="n">
        <x:v>0.0343134017516953</x:v>
      </x:c>
      <x:c r="K56" s="39" t="n">
        <x:f>IFERROR(ABS(G56-H56),"")</x:f>
        <x:v>0.1429737398333772</x:v>
      </x:c>
      <x:c r="L56" s="39" t="n">
        <x:f>IFERROR(ABS(G56-I56),"")</x:f>
        <x:v>0.14656838296876518</x:v>
      </x:c>
      <x:c r="M56" s="35" t="n">
        <x:f>IFERROR(G56*J56,"")</x:f>
        <x:v>-0.00857385700245488</x:v>
      </x:c>
      <x:c r="N56" s="19" t="str">
        <x:f>IF(ABS(J56)&lt;=0.05,"Weak or Uncertain History",IF(J56&gt;0,"Historically Better With More","Historically Better With Less"))</x:f>
        <x:v>Weak or Uncertain History</x:v>
      </x:c>
    </x:row>
    <x:row r="57" ht="23" customHeight="1">
      <x:c r="A57" s="20" t="str">
        <x:v>case_08|midfield_aggression</x:v>
      </x:c>
      <x:c r="B57" s="15" t="str">
        <x:v>case_08</x:v>
      </x:c>
      <x:c r="C57" s="15" t="str">
        <x:v>Aridane Hernández</x:v>
      </x:c>
      <x:c r="D57" s="15" t="str">
        <x:v>Rayo Vallecano</x:v>
      </x:c>
      <x:c r="E57" s="15" t="str">
        <x:v>midfield_aggression</x:v>
      </x:c>
      <x:c r="F57" s="15" t="str">
        <x:v>Midfield aggression</x:v>
      </x:c>
      <x:c r="G57" s="40" t="n">
        <x:v>0.0095322040349672</x:v>
      </x:c>
      <x:c r="H57" s="40" t="n">
        <x:v>-0.1793931436170859</x:v>
      </x:c>
      <x:c r="I57" s="40" t="n">
        <x:v>-0.1794299988576372</x:v>
      </x:c>
      <x:c r="J57" s="36" t="n">
        <x:v>-0.027675362678118</x:v>
      </x:c>
      <x:c r="K57" s="40" t="n">
        <x:f>IFERROR(ABS(G57-H57),"")</x:f>
        <x:v>0.1889253476520531</x:v>
      </x:c>
      <x:c r="L57" s="40" t="n">
        <x:f>IFERROR(ABS(G57-I57),"")</x:f>
        <x:v>0.1889622028926044</x:v>
      </x:c>
      <x:c r="M57" s="36" t="n">
        <x:f>IFERROR(G57*J57,"")</x:f>
        <x:v>-0.0002638072037895371</x:v>
      </x:c>
      <x:c r="N57" s="20" t="str">
        <x:f>IF(ABS(J57)&lt;=0.05,"Weak or Uncertain History",IF(J57&gt;0,"Historically Better With More","Historically Better With Less"))</x:f>
        <x:v>Weak or Uncertain History</x:v>
      </x:c>
    </x:row>
    <x:row r="58" ht="23" customHeight="1">
      <x:c r="A58" s="19" t="str">
        <x:v>case_08|midfield_creativity</x:v>
      </x:c>
      <x:c r="B58" s="17" t="str">
        <x:v>case_08</x:v>
      </x:c>
      <x:c r="C58" s="17" t="str">
        <x:v>Aridane Hernández</x:v>
      </x:c>
      <x:c r="D58" s="17" t="str">
        <x:v>Rayo Vallecano</x:v>
      </x:c>
      <x:c r="E58" s="17" t="str">
        <x:v>midfield_creativity</x:v>
      </x:c>
      <x:c r="F58" s="17" t="str">
        <x:v>Midfield creativity</x:v>
      </x:c>
      <x:c r="G58" s="39" t="n">
        <x:v>-0.0700647211107024</x:v>
      </x:c>
      <x:c r="H58" s="39" t="n">
        <x:v>-0.0689839964053502</x:v>
      </x:c>
      <x:c r="I58" s="39" t="n">
        <x:v>-0.0695755857249939</x:v>
      </x:c>
      <x:c r="J58" s="35" t="n">
        <x:v>-1.0500144325119103</x:v>
      </x:c>
      <x:c r="K58" s="39" t="n">
        <x:f>IFERROR(ABS(G58-H58),"")</x:f>
        <x:v>0.0010807247053521984</x:v>
      </x:c>
      <x:c r="L58" s="39" t="n">
        <x:f>IFERROR(ABS(G58-I58),"")</x:f>
        <x:v>0.0004891353857085085</x:v>
      </x:c>
      <x:c r="M58" s="35" t="n">
        <x:f>IFERROR(G58*J58,"")</x:f>
        <x:v>0.07356896837615945</x:v>
      </x:c>
      <x:c r="N58" s="19" t="str">
        <x:f>IF(ABS(J58)&lt;=0.05,"Weak or Uncertain History",IF(J58&gt;0,"Historically Better With More","Historically Better With Less"))</x:f>
        <x:v>Historically Better With Less</x:v>
      </x:c>
    </x:row>
    <x:row r="59" ht="23" customHeight="1">
      <x:c r="A59" s="20" t="str">
        <x:v>case_08|team_passing_control</x:v>
      </x:c>
      <x:c r="B59" s="15" t="str">
        <x:v>case_08</x:v>
      </x:c>
      <x:c r="C59" s="15" t="str">
        <x:v>Aridane Hernández</x:v>
      </x:c>
      <x:c r="D59" s="15" t="str">
        <x:v>Rayo Vallecano</x:v>
      </x:c>
      <x:c r="E59" s="15" t="str">
        <x:v>team_passing_control</x:v>
      </x:c>
      <x:c r="F59" s="15" t="str">
        <x:v>Team passing control</x:v>
      </x:c>
      <x:c r="G59" s="40" t="n">
        <x:v>0.0373388054466658</x:v>
      </x:c>
      <x:c r="H59" s="40" t="n">
        <x:v>-0.3373834439868367</x:v>
      </x:c>
      <x:c r="I59" s="40" t="n">
        <x:v>-0.3326974014261541</x:v>
      </x:c>
      <x:c r="J59" s="36" t="n">
        <x:v>0.1769956505368711</x:v>
      </x:c>
      <x:c r="K59" s="40" t="n">
        <x:f>IFERROR(ABS(G59-H59),"")</x:f>
        <x:v>0.37472224943350246</x:v>
      </x:c>
      <x:c r="L59" s="40" t="n">
        <x:f>IFERROR(ABS(G59-I59),"")</x:f>
        <x:v>0.3700362068728199</x:v>
      </x:c>
      <x:c r="M59" s="36" t="n">
        <x:f>IFERROR(G59*J59,"")</x:f>
        <x:v>0.006608806160302279</x:v>
      </x:c>
      <x:c r="N59" s="20" t="str">
        <x:f>IF(ABS(J59)&lt;=0.05,"Weak or Uncertain History",IF(J59&gt;0,"Historically Better With More","Historically Better With Less"))</x:f>
        <x:v>Historically Better With More</x:v>
      </x:c>
    </x:row>
    <x:row r="60" ht="23" customHeight="1">
      <x:c r="A60" s="19" t="str">
        <x:v>case_06|defensive_intensity</x:v>
      </x:c>
      <x:c r="B60" s="17" t="str">
        <x:v>case_06</x:v>
      </x:c>
      <x:c r="C60" s="17" t="str">
        <x:v>Faride Alidou</x:v>
      </x:c>
      <x:c r="D60" s="17" t="str">
        <x:v>1.FC Köln</x:v>
      </x:c>
      <x:c r="E60" s="17" t="str">
        <x:v>defensive_intensity</x:v>
      </x:c>
      <x:c r="F60" s="17" t="str">
        <x:v>Defensive intensity</x:v>
      </x:c>
      <x:c r="G60" s="39" t="n">
        <x:v>0.2050788128719418</x:v>
      </x:c>
      <x:c r="H60" s="39"/>
      <x:c r="I60" s="39" t="n">
        <x:v>0.0948227825908416</x:v>
      </x:c>
      <x:c r="J60" s="35"/>
      <x:c r="K60" s="39" t="n">
        <x:f>IFERROR(ABS(G60-H60),"")</x:f>
        <x:v>0.2050788128719418</x:v>
      </x:c>
      <x:c r="L60" s="39" t="n">
        <x:f>IFERROR(ABS(G60-I60),"")</x:f>
        <x:v>0.11025603028110019</x:v>
      </x:c>
      <x:c r="M60" s="35" t="n">
        <x:f>IFERROR(G60*J60,"")</x:f>
        <x:v>0</x:v>
      </x:c>
      <x:c r="N60" s="19" t="str">
        <x:f>IF(ABS(J60)&lt;=0.05,"Weak or Uncertain History",IF(J60&gt;0,"Historically Better With More","Historically Better With Less"))</x:f>
        <x:v>Weak or Uncertain History</x:v>
      </x:c>
    </x:row>
    <x:row r="61" ht="23" customHeight="1">
      <x:c r="A61" s="20" t="str">
        <x:v>case_06|forward_mobility</x:v>
      </x:c>
      <x:c r="B61" s="15" t="str">
        <x:v>case_06</x:v>
      </x:c>
      <x:c r="C61" s="15" t="str">
        <x:v>Faride Alidou</x:v>
      </x:c>
      <x:c r="D61" s="15" t="str">
        <x:v>1.FC Köln</x:v>
      </x:c>
      <x:c r="E61" s="15" t="str">
        <x:v>forward_mobility</x:v>
      </x:c>
      <x:c r="F61" s="15" t="str">
        <x:v>Forward mobility</x:v>
      </x:c>
      <x:c r="G61" s="40" t="n">
        <x:v>-0.1788550978341034</x:v>
      </x:c>
      <x:c r="H61" s="40"/>
      <x:c r="I61" s="40" t="n">
        <x:v>0.321373107334529</x:v>
      </x:c>
      <x:c r="J61" s="36"/>
      <x:c r="K61" s="40" t="n">
        <x:f>IFERROR(ABS(G61-H61),"")</x:f>
        <x:v>0.1788550978341034</x:v>
      </x:c>
      <x:c r="L61" s="40" t="n">
        <x:f>IFERROR(ABS(G61-I61),"")</x:f>
        <x:v>0.5002282051686324</x:v>
      </x:c>
      <x:c r="M61" s="36" t="n">
        <x:f>IFERROR(G61*J61,"")</x:f>
        <x:v>0</x:v>
      </x:c>
      <x:c r="N61" s="20" t="str">
        <x:f>IF(ABS(J61)&lt;=0.05,"Weak or Uncertain History",IF(J61&gt;0,"Historically Better With More","Historically Better With Less"))</x:f>
        <x:v>Weak or Uncertain History</x:v>
      </x:c>
    </x:row>
    <x:row r="62" ht="23" customHeight="1">
      <x:c r="A62" s="19" t="str">
        <x:v>case_06|forward_threat</x:v>
      </x:c>
      <x:c r="B62" s="17" t="str">
        <x:v>case_06</x:v>
      </x:c>
      <x:c r="C62" s="17" t="str">
        <x:v>Faride Alidou</x:v>
      </x:c>
      <x:c r="D62" s="17" t="str">
        <x:v>1.FC Köln</x:v>
      </x:c>
      <x:c r="E62" s="17" t="str">
        <x:v>forward_threat</x:v>
      </x:c>
      <x:c r="F62" s="17" t="str">
        <x:v>Forward threat</x:v>
      </x:c>
      <x:c r="G62" s="39" t="n">
        <x:v>-0.076920452768865</x:v>
      </x:c>
      <x:c r="H62" s="39"/>
      <x:c r="I62" s="39" t="n">
        <x:v>0.4722156789455218</x:v>
      </x:c>
      <x:c r="J62" s="35"/>
      <x:c r="K62" s="39" t="n">
        <x:f>IFERROR(ABS(G62-H62),"")</x:f>
        <x:v>0.076920452768865</x:v>
      </x:c>
      <x:c r="L62" s="39" t="n">
        <x:f>IFERROR(ABS(G62-I62),"")</x:f>
        <x:v>0.5491361317143868</x:v>
      </x:c>
      <x:c r="M62" s="35" t="n">
        <x:f>IFERROR(G62*J62,"")</x:f>
        <x:v>0</x:v>
      </x:c>
      <x:c r="N62" s="19" t="str">
        <x:f>IF(ABS(J62)&lt;=0.05,"Weak or Uncertain History",IF(J62&gt;0,"Historically Better With More","Historically Better With Less"))</x:f>
        <x:v>Weak or Uncertain History</x:v>
      </x:c>
    </x:row>
    <x:row r="63" ht="23" customHeight="1">
      <x:c r="A63" s="20" t="str">
        <x:v>case_06|midfield_aggression</x:v>
      </x:c>
      <x:c r="B63" s="15" t="str">
        <x:v>case_06</x:v>
      </x:c>
      <x:c r="C63" s="15" t="str">
        <x:v>Faride Alidou</x:v>
      </x:c>
      <x:c r="D63" s="15" t="str">
        <x:v>1.FC Köln</x:v>
      </x:c>
      <x:c r="E63" s="15" t="str">
        <x:v>midfield_aggression</x:v>
      </x:c>
      <x:c r="F63" s="15" t="str">
        <x:v>Midfield aggression</x:v>
      </x:c>
      <x:c r="G63" s="40" t="n">
        <x:v>-0.0791112852970904</x:v>
      </x:c>
      <x:c r="H63" s="40"/>
      <x:c r="I63" s="40" t="n">
        <x:v>0.0228577124055876</x:v>
      </x:c>
      <x:c r="J63" s="36"/>
      <x:c r="K63" s="40" t="n">
        <x:f>IFERROR(ABS(G63-H63),"")</x:f>
        <x:v>0.0791112852970904</x:v>
      </x:c>
      <x:c r="L63" s="40" t="n">
        <x:f>IFERROR(ABS(G63-I63),"")</x:f>
        <x:v>0.101968997702678</x:v>
      </x:c>
      <x:c r="M63" s="36" t="n">
        <x:f>IFERROR(G63*J63,"")</x:f>
        <x:v>0</x:v>
      </x:c>
      <x:c r="N63" s="20" t="str">
        <x:f>IF(ABS(J63)&lt;=0.05,"Weak or Uncertain History",IF(J63&gt;0,"Historically Better With More","Historically Better With Less"))</x:f>
        <x:v>Weak or Uncertain History</x:v>
      </x:c>
    </x:row>
    <x:row r="64" ht="23" customHeight="1">
      <x:c r="A64" s="19" t="str">
        <x:v>case_06|midfield_creativity</x:v>
      </x:c>
      <x:c r="B64" s="17" t="str">
        <x:v>case_06</x:v>
      </x:c>
      <x:c r="C64" s="17" t="str">
        <x:v>Faride Alidou</x:v>
      </x:c>
      <x:c r="D64" s="17" t="str">
        <x:v>1.FC Köln</x:v>
      </x:c>
      <x:c r="E64" s="17" t="str">
        <x:v>midfield_creativity</x:v>
      </x:c>
      <x:c r="F64" s="17" t="str">
        <x:v>Midfield creativity</x:v>
      </x:c>
      <x:c r="G64" s="39" t="n">
        <x:v>0.029679336529784</x:v>
      </x:c>
      <x:c r="H64" s="39"/>
      <x:c r="I64" s="39" t="n">
        <x:v>0.0653928962784195</x:v>
      </x:c>
      <x:c r="J64" s="35"/>
      <x:c r="K64" s="39" t="n">
        <x:f>IFERROR(ABS(G64-H64),"")</x:f>
        <x:v>0.029679336529784</x:v>
      </x:c>
      <x:c r="L64" s="39" t="n">
        <x:f>IFERROR(ABS(G64-I64),"")</x:f>
        <x:v>0.03571355974863551</x:v>
      </x:c>
      <x:c r="M64" s="35" t="n">
        <x:f>IFERROR(G64*J64,"")</x:f>
        <x:v>0</x:v>
      </x:c>
      <x:c r="N64" s="19" t="str">
        <x:f>IF(ABS(J64)&lt;=0.05,"Weak or Uncertain History",IF(J64&gt;0,"Historically Better With More","Historically Better With Less"))</x:f>
        <x:v>Weak or Uncertain History</x:v>
      </x:c>
    </x:row>
    <x:row r="65" ht="23" customHeight="1">
      <x:c r="A65" s="20" t="str">
        <x:v>case_06|team_passing_control</x:v>
      </x:c>
      <x:c r="B65" s="15" t="str">
        <x:v>case_06</x:v>
      </x:c>
      <x:c r="C65" s="15" t="str">
        <x:v>Faride Alidou</x:v>
      </x:c>
      <x:c r="D65" s="15" t="str">
        <x:v>1.FC Köln</x:v>
      </x:c>
      <x:c r="E65" s="15" t="str">
        <x:v>team_passing_control</x:v>
      </x:c>
      <x:c r="F65" s="15" t="str">
        <x:v>Team passing control</x:v>
      </x:c>
      <x:c r="G65" s="40" t="n">
        <x:v>-0.183668027858376</x:v>
      </x:c>
      <x:c r="H65" s="40"/>
      <x:c r="I65" s="40" t="n">
        <x:v>-0.0850345124049046</x:v>
      </x:c>
      <x:c r="J65" s="36"/>
      <x:c r="K65" s="40" t="n">
        <x:f>IFERROR(ABS(G65-H65),"")</x:f>
        <x:v>0.183668027858376</x:v>
      </x:c>
      <x:c r="L65" s="40" t="n">
        <x:f>IFERROR(ABS(G65-I65),"")</x:f>
        <x:v>0.09863351545347139</x:v>
      </x:c>
      <x:c r="M65" s="36" t="n">
        <x:f>IFERROR(G65*J65,"")</x:f>
        <x:v>0</x:v>
      </x:c>
      <x:c r="N65" s="20" t="str">
        <x:f>IF(ABS(J65)&lt;=0.05,"Weak or Uncertain History",IF(J65&gt;0,"Historically Better With More","Historically Better With Less"))</x:f>
        <x:v>Weak or Uncertain History</x:v>
      </x:c>
    </x:row>
    <x:row r="66" ht="23" customHeight="1">
      <x:c r="A66" s="19" t="str">
        <x:v>case_03|defensive_intensity</x:v>
      </x:c>
      <x:c r="B66" s="17" t="str">
        <x:v>case_03</x:v>
      </x:c>
      <x:c r="C66" s="17" t="str">
        <x:v>Jorge Meré</x:v>
      </x:c>
      <x:c r="D66" s="17" t="str">
        <x:v>Cádiz CF</x:v>
      </x:c>
      <x:c r="E66" s="17" t="str">
        <x:v>defensive_intensity</x:v>
      </x:c>
      <x:c r="F66" s="17" t="str">
        <x:v>Defensive intensity</x:v>
      </x:c>
      <x:c r="G66" s="39" t="n">
        <x:v>-0.090832545365653</x:v>
      </x:c>
      <x:c r="H66" s="39" t="n">
        <x:v>0.1332425880658798</x:v>
      </x:c>
      <x:c r="I66" s="39" t="n">
        <x:v>0.1385269958380044</x:v>
      </x:c>
      <x:c r="J66" s="35" t="n">
        <x:v>0.5382434437565756</x:v>
      </x:c>
      <x:c r="K66" s="39" t="n">
        <x:f>IFERROR(ABS(G66-H66),"")</x:f>
        <x:v>0.2240751334315328</x:v>
      </x:c>
      <x:c r="L66" s="39" t="n">
        <x:f>IFERROR(ABS(G66-I66),"")</x:f>
        <x:v>0.2293595412036574</x:v>
      </x:c>
      <x:c r="M66" s="35" t="n">
        <x:f>IFERROR(G66*J66,"")</x:f>
        <x:v>-0.04889002202278445</x:v>
      </x:c>
      <x:c r="N66" s="19" t="str">
        <x:f>IF(ABS(J66)&lt;=0.05,"Weak or Uncertain History",IF(J66&gt;0,"Historically Better With More","Historically Better With Less"))</x:f>
        <x:v>Historically Better With More</x:v>
      </x:c>
    </x:row>
    <x:row r="67" ht="23" customHeight="1">
      <x:c r="A67" s="20" t="str">
        <x:v>case_03|forward_mobility</x:v>
      </x:c>
      <x:c r="B67" s="15" t="str">
        <x:v>case_03</x:v>
      </x:c>
      <x:c r="C67" s="15" t="str">
        <x:v>Jorge Meré</x:v>
      </x:c>
      <x:c r="D67" s="15" t="str">
        <x:v>Cádiz CF</x:v>
      </x:c>
      <x:c r="E67" s="15" t="str">
        <x:v>forward_mobility</x:v>
      </x:c>
      <x:c r="F67" s="15" t="str">
        <x:v>Forward mobility</x:v>
      </x:c>
      <x:c r="G67" s="40" t="n">
        <x:v>-0.5081792892261894</x:v>
      </x:c>
      <x:c r="H67" s="40" t="n">
        <x:v>-0.3040729989149955</x:v>
      </x:c>
      <x:c r="I67" s="40" t="n">
        <x:v>-0.3081346524577084</x:v>
      </x:c>
      <x:c r="J67" s="36" t="n">
        <x:v>-0.2561356101322953</x:v>
      </x:c>
      <x:c r="K67" s="40" t="n">
        <x:f>IFERROR(ABS(G67-H67),"")</x:f>
        <x:v>0.20410629031119387</x:v>
      </x:c>
      <x:c r="L67" s="40" t="n">
        <x:f>IFERROR(ABS(G67-I67),"")</x:f>
        <x:v>0.200044636768481</x:v>
      </x:c>
      <x:c r="M67" s="36" t="n">
        <x:f>IFERROR(G67*J67,"")</x:f>
        <x:v>0.13016281230254617</x:v>
      </x:c>
      <x:c r="N67" s="20" t="str">
        <x:f>IF(ABS(J67)&lt;=0.05,"Weak or Uncertain History",IF(J67&gt;0,"Historically Better With More","Historically Better With Less"))</x:f>
        <x:v>Historically Better With Less</x:v>
      </x:c>
    </x:row>
    <x:row r="68" ht="23" customHeight="1">
      <x:c r="A68" s="19" t="str">
        <x:v>case_03|forward_threat</x:v>
      </x:c>
      <x:c r="B68" s="17" t="str">
        <x:v>case_03</x:v>
      </x:c>
      <x:c r="C68" s="17" t="str">
        <x:v>Jorge Meré</x:v>
      </x:c>
      <x:c r="D68" s="17" t="str">
        <x:v>Cádiz CF</x:v>
      </x:c>
      <x:c r="E68" s="17" t="str">
        <x:v>forward_threat</x:v>
      </x:c>
      <x:c r="F68" s="17" t="str">
        <x:v>Forward threat</x:v>
      </x:c>
      <x:c r="G68" s="39" t="n">
        <x:v>-0.0870362857661945</x:v>
      </x:c>
      <x:c r="H68" s="39" t="n">
        <x:v>-0.0885850613652446</x:v>
      </x:c>
      <x:c r="I68" s="39" t="n">
        <x:v>-0.0696051996025751</x:v>
      </x:c>
      <x:c r="J68" s="35" t="n">
        <x:v>0.1647978375765305</x:v>
      </x:c>
      <x:c r="K68" s="39" t="n">
        <x:f>IFERROR(ABS(G68-H68),"")</x:f>
        <x:v>0.0015487755990501034</x:v>
      </x:c>
      <x:c r="L68" s="39" t="n">
        <x:f>IFERROR(ABS(G68-I68),"")</x:f>
        <x:v>0.017431086163619408</x:v>
      </x:c>
      <x:c r="M68" s="35" t="n">
        <x:f>IFERROR(G68*J68,"")</x:f>
        <x:v>-0.014343391684961813</x:v>
      </x:c>
      <x:c r="N68" s="19" t="str">
        <x:f>IF(ABS(J68)&lt;=0.05,"Weak or Uncertain History",IF(J68&gt;0,"Historically Better With More","Historically Better With Less"))</x:f>
        <x:v>Historically Better With More</x:v>
      </x:c>
    </x:row>
    <x:row r="69" ht="23" customHeight="1">
      <x:c r="A69" s="20" t="str">
        <x:v>case_03|midfield_aggression</x:v>
      </x:c>
      <x:c r="B69" s="15" t="str">
        <x:v>case_03</x:v>
      </x:c>
      <x:c r="C69" s="15" t="str">
        <x:v>Jorge Meré</x:v>
      </x:c>
      <x:c r="D69" s="15" t="str">
        <x:v>Cádiz CF</x:v>
      </x:c>
      <x:c r="E69" s="15" t="str">
        <x:v>midfield_aggression</x:v>
      </x:c>
      <x:c r="F69" s="15" t="str">
        <x:v>Midfield aggression</x:v>
      </x:c>
      <x:c r="G69" s="40" t="n">
        <x:v>-0.2632589786344232</x:v>
      </x:c>
      <x:c r="H69" s="40" t="n">
        <x:v>-0.1151535675370028</x:v>
      </x:c>
      <x:c r="I69" s="40" t="n">
        <x:v>-0.1134318445059156</x:v>
      </x:c>
      <x:c r="J69" s="36" t="n">
        <x:v>0.4336312431760313</x:v>
      </x:c>
      <x:c r="K69" s="40" t="n">
        <x:f>IFERROR(ABS(G69-H69),"")</x:f>
        <x:v>0.14810541109742043</x:v>
      </x:c>
      <x:c r="L69" s="40" t="n">
        <x:f>IFERROR(ABS(G69-I69),"")</x:f>
        <x:v>0.14982713412850762</x:v>
      </x:c>
      <x:c r="M69" s="36" t="n">
        <x:f>IFERROR(G69*J69,"")</x:f>
        <x:v>-0.1141573181824972</x:v>
      </x:c>
      <x:c r="N69" s="20" t="str">
        <x:f>IF(ABS(J69)&lt;=0.05,"Weak or Uncertain History",IF(J69&gt;0,"Historically Better With More","Historically Better With Less"))</x:f>
        <x:v>Historically Better With More</x:v>
      </x:c>
    </x:row>
    <x:row r="70" ht="23" customHeight="1">
      <x:c r="A70" s="19" t="str">
        <x:v>case_03|midfield_creativity</x:v>
      </x:c>
      <x:c r="B70" s="17" t="str">
        <x:v>case_03</x:v>
      </x:c>
      <x:c r="C70" s="17" t="str">
        <x:v>Jorge Meré</x:v>
      </x:c>
      <x:c r="D70" s="17" t="str">
        <x:v>Cádiz CF</x:v>
      </x:c>
      <x:c r="E70" s="17" t="str">
        <x:v>midfield_creativity</x:v>
      </x:c>
      <x:c r="F70" s="17" t="str">
        <x:v>Midfield creativity</x:v>
      </x:c>
      <x:c r="G70" s="39" t="n">
        <x:v>-0.3095082553492639</x:v>
      </x:c>
      <x:c r="H70" s="39" t="n">
        <x:v>-0.0673082431386005</x:v>
      </x:c>
      <x:c r="I70" s="39" t="n">
        <x:v>-0.0570555671354755</x:v>
      </x:c>
      <x:c r="J70" s="35" t="n">
        <x:v>0.3801403185578135</x:v>
      </x:c>
      <x:c r="K70" s="39" t="n">
        <x:f>IFERROR(ABS(G70-H70),"")</x:f>
        <x:v>0.2422000122106634</x:v>
      </x:c>
      <x:c r="L70" s="39" t="n">
        <x:f>IFERROR(ABS(G70-I70),"")</x:f>
        <x:v>0.2524526882137884</x:v>
      </x:c>
      <x:c r="M70" s="35" t="n">
        <x:f>IFERROR(G70*J70,"")</x:f>
        <x:v>-0.11765656678474226</x:v>
      </x:c>
      <x:c r="N70" s="19" t="str">
        <x:f>IF(ABS(J70)&lt;=0.05,"Weak or Uncertain History",IF(J70&gt;0,"Historically Better With More","Historically Better With Less"))</x:f>
        <x:v>Historically Better With More</x:v>
      </x:c>
    </x:row>
    <x:row r="71" ht="23" customHeight="1">
      <x:c r="A71" s="20" t="str">
        <x:v>case_03|team_passing_control</x:v>
      </x:c>
      <x:c r="B71" s="15" t="str">
        <x:v>case_03</x:v>
      </x:c>
      <x:c r="C71" s="15" t="str">
        <x:v>Jorge Meré</x:v>
      </x:c>
      <x:c r="D71" s="15" t="str">
        <x:v>Cádiz CF</x:v>
      </x:c>
      <x:c r="E71" s="15" t="str">
        <x:v>team_passing_control</x:v>
      </x:c>
      <x:c r="F71" s="15" t="str">
        <x:v>Team passing control</x:v>
      </x:c>
      <x:c r="G71" s="40" t="n">
        <x:v>-0.486456928951534</x:v>
      </x:c>
      <x:c r="H71" s="40" t="n">
        <x:v>-0.1814038292004184</x:v>
      </x:c>
      <x:c r="I71" s="40" t="n">
        <x:v>-0.1801139039544427</x:v>
      </x:c>
      <x:c r="J71" s="36" t="n">
        <x:v>0.100202193685901</x:v>
      </x:c>
      <x:c r="K71" s="40" t="n">
        <x:f>IFERROR(ABS(G71-H71),"")</x:f>
        <x:v>0.3050530997511156</x:v>
      </x:c>
      <x:c r="L71" s="40" t="n">
        <x:f>IFERROR(ABS(G71-I71),"")</x:f>
        <x:v>0.30634302499709126</x:v>
      </x:c>
      <x:c r="M71" s="36" t="n">
        <x:f>IFERROR(G71*J71,"")</x:f>
        <x:v>-0.048744051414650186</x:v>
      </x:c>
      <x:c r="N71" s="20" t="str">
        <x:f>IF(ABS(J71)&lt;=0.05,"Weak or Uncertain History",IF(J71&gt;0,"Historically Better With More","Historically Better With Less"))</x:f>
        <x:v>Historically Better With More</x:v>
      </x:c>
    </x:row>
    <x:row r="72" ht="23" customHeight="1">
      <x:c r="A72" s="19" t="str">
        <x:v>case_07|defensive_intensity</x:v>
      </x:c>
      <x:c r="B72" s="17" t="str">
        <x:v>case_07</x:v>
      </x:c>
      <x:c r="C72" s="17" t="str">
        <x:v>Oriol Romeu</x:v>
      </x:c>
      <x:c r="D72" s="17" t="str">
        <x:v>FC Barcelona</x:v>
      </x:c>
      <x:c r="E72" s="17" t="str">
        <x:v>defensive_intensity</x:v>
      </x:c>
      <x:c r="F72" s="17" t="str">
        <x:v>Defensive intensity</x:v>
      </x:c>
      <x:c r="G72" s="39" t="n">
        <x:v>-0.3612598157290845</x:v>
      </x:c>
      <x:c r="H72" s="39" t="n">
        <x:v>0.0158310113771068</x:v>
      </x:c>
      <x:c r="I72" s="39" t="n">
        <x:v>0.0197630809495919</x:v>
      </x:c>
      <x:c r="J72" s="35" t="n">
        <x:v>0.159512719602022</x:v>
      </x:c>
      <x:c r="K72" s="39" t="n">
        <x:f>IFERROR(ABS(G72-H72),"")</x:f>
        <x:v>0.3770908271061913</x:v>
      </x:c>
      <x:c r="L72" s="39" t="n">
        <x:f>IFERROR(ABS(G72-I72),"")</x:f>
        <x:v>0.3810228966786764</x:v>
      </x:c>
      <x:c r="M72" s="35" t="n">
        <x:f>IFERROR(G72*J72,"")</x:f>
        <x:v>-0.057625535689871596</x:v>
      </x:c>
      <x:c r="N72" s="19" t="str">
        <x:f>IF(ABS(J72)&lt;=0.05,"Weak or Uncertain History",IF(J72&gt;0,"Historically Better With More","Historically Better With Less"))</x:f>
        <x:v>Historically Better With More</x:v>
      </x:c>
    </x:row>
    <x:row r="73" ht="23" customHeight="1">
      <x:c r="A73" s="20" t="str">
        <x:v>case_07|forward_mobility</x:v>
      </x:c>
      <x:c r="B73" s="15" t="str">
        <x:v>case_07</x:v>
      </x:c>
      <x:c r="C73" s="15" t="str">
        <x:v>Oriol Romeu</x:v>
      </x:c>
      <x:c r="D73" s="15" t="str">
        <x:v>FC Barcelona</x:v>
      </x:c>
      <x:c r="E73" s="15" t="str">
        <x:v>forward_mobility</x:v>
      </x:c>
      <x:c r="F73" s="15" t="str">
        <x:v>Forward mobility</x:v>
      </x:c>
      <x:c r="G73" s="40" t="n">
        <x:v>0.51240301233671</x:v>
      </x:c>
      <x:c r="H73" s="40" t="n">
        <x:v>-0.277651245420318</x:v>
      </x:c>
      <x:c r="I73" s="40" t="n">
        <x:v>-0.2699441244782198</x:v>
      </x:c>
      <x:c r="J73" s="36" t="n">
        <x:v>0.3224600324653509</x:v>
      </x:c>
      <x:c r="K73" s="40" t="n">
        <x:f>IFERROR(ABS(G73-H73),"")</x:f>
        <x:v>0.790054257757028</x:v>
      </x:c>
      <x:c r="L73" s="40" t="n">
        <x:f>IFERROR(ABS(G73-I73),"")</x:f>
        <x:v>0.7823471368149298</x:v>
      </x:c>
      <x:c r="M73" s="36" t="n">
        <x:f>IFERROR(G73*J73,"")</x:f>
        <x:v>0.16522949199343911</x:v>
      </x:c>
      <x:c r="N73" s="20" t="str">
        <x:f>IF(ABS(J73)&lt;=0.05,"Weak or Uncertain History",IF(J73&gt;0,"Historically Better With More","Historically Better With Less"))</x:f>
        <x:v>Historically Better With More</x:v>
      </x:c>
    </x:row>
    <x:row r="74" ht="23" customHeight="1">
      <x:c r="A74" s="19" t="str">
        <x:v>case_07|forward_threat</x:v>
      </x:c>
      <x:c r="B74" s="17" t="str">
        <x:v>case_07</x:v>
      </x:c>
      <x:c r="C74" s="17" t="str">
        <x:v>Oriol Romeu</x:v>
      </x:c>
      <x:c r="D74" s="17" t="str">
        <x:v>FC Barcelona</x:v>
      </x:c>
      <x:c r="E74" s="17" t="str">
        <x:v>forward_threat</x:v>
      </x:c>
      <x:c r="F74" s="17" t="str">
        <x:v>Forward threat</x:v>
      </x:c>
      <x:c r="G74" s="39" t="n">
        <x:v>0.6599157083714213</x:v>
      </x:c>
      <x:c r="H74" s="39" t="n">
        <x:v>0.148901945213514</x:v>
      </x:c>
      <x:c r="I74" s="39" t="n">
        <x:v>0.1398658061789145</x:v>
      </x:c>
      <x:c r="J74" s="35" t="n">
        <x:v>-0.1725907938074744</x:v>
      </x:c>
      <x:c r="K74" s="39" t="n">
        <x:f>IFERROR(ABS(G74-H74),"")</x:f>
        <x:v>0.5110137631579074</x:v>
      </x:c>
      <x:c r="L74" s="39" t="n">
        <x:f>IFERROR(ABS(G74-I74),"")</x:f>
        <x:v>0.5200499021925068</x:v>
      </x:c>
      <x:c r="M74" s="35" t="n">
        <x:f>IFERROR(G74*J74,"")</x:f>
        <x:v>-0.1138953759538454</x:v>
      </x:c>
      <x:c r="N74" s="19" t="str">
        <x:f>IF(ABS(J74)&lt;=0.05,"Weak or Uncertain History",IF(J74&gt;0,"Historically Better With More","Historically Better With Less"))</x:f>
        <x:v>Historically Better With Less</x:v>
      </x:c>
    </x:row>
    <x:row r="75" ht="23" customHeight="1">
      <x:c r="A75" s="20" t="str">
        <x:v>case_07|midfield_aggression</x:v>
      </x:c>
      <x:c r="B75" s="15" t="str">
        <x:v>case_07</x:v>
      </x:c>
      <x:c r="C75" s="15" t="str">
        <x:v>Oriol Romeu</x:v>
      </x:c>
      <x:c r="D75" s="15" t="str">
        <x:v>FC Barcelona</x:v>
      </x:c>
      <x:c r="E75" s="15" t="str">
        <x:v>midfield_aggression</x:v>
      </x:c>
      <x:c r="F75" s="15" t="str">
        <x:v>Midfield aggression</x:v>
      </x:c>
      <x:c r="G75" s="40" t="n">
        <x:v>0.2047468961495129</x:v>
      </x:c>
      <x:c r="H75" s="40" t="n">
        <x:v>0.0417813189679264</x:v>
      </x:c>
      <x:c r="I75" s="40" t="n">
        <x:v>0.0383402322067273</x:v>
      </x:c>
      <x:c r="J75" s="36" t="n">
        <x:v>-0.2659992982907888</x:v>
      </x:c>
      <x:c r="K75" s="40" t="n">
        <x:f>IFERROR(ABS(G75-H75),"")</x:f>
        <x:v>0.16296557718158652</x:v>
      </x:c>
      <x:c r="L75" s="40" t="n">
        <x:f>IFERROR(ABS(G75-I75),"")</x:f>
        <x:v>0.1664066639427856</x:v>
      </x:c>
      <x:c r="M75" s="36" t="n">
        <x:f>IFERROR(G75*J75,"")</x:f>
        <x:v>-0.054462530702987434</x:v>
      </x:c>
      <x:c r="N75" s="20" t="str">
        <x:f>IF(ABS(J75)&lt;=0.05,"Weak or Uncertain History",IF(J75&gt;0,"Historically Better With More","Historically Better With Less"))</x:f>
        <x:v>Historically Better With Less</x:v>
      </x:c>
    </x:row>
    <x:row r="76" ht="23" customHeight="1">
      <x:c r="A76" s="19" t="str">
        <x:v>case_07|midfield_creativity</x:v>
      </x:c>
      <x:c r="B76" s="17" t="str">
        <x:v>case_07</x:v>
      </x:c>
      <x:c r="C76" s="17" t="str">
        <x:v>Oriol Romeu</x:v>
      </x:c>
      <x:c r="D76" s="17" t="str">
        <x:v>FC Barcelona</x:v>
      </x:c>
      <x:c r="E76" s="17" t="str">
        <x:v>midfield_creativity</x:v>
      </x:c>
      <x:c r="F76" s="17" t="str">
        <x:v>Midfield creativity</x:v>
      </x:c>
      <x:c r="G76" s="39" t="n">
        <x:v>0.2636713666689359</x:v>
      </x:c>
      <x:c r="H76" s="39" t="n">
        <x:v>0.1493655560876657</x:v>
      </x:c>
      <x:c r="I76" s="39" t="n">
        <x:v>0.1443032624554943</x:v>
      </x:c>
      <x:c r="J76" s="35" t="n">
        <x:v>-0.4016061211752733</x:v>
      </x:c>
      <x:c r="K76" s="39" t="n">
        <x:f>IFERROR(ABS(G76-H76),"")</x:f>
        <x:v>0.11430581058127023</x:v>
      </x:c>
      <x:c r="L76" s="39" t="n">
        <x:f>IFERROR(ABS(G76-I76),"")</x:f>
        <x:v>0.11936810421344163</x:v>
      </x:c>
      <x:c r="M76" s="35" t="n">
        <x:f>IFERROR(G76*J76,"")</x:f>
        <x:v>-0.1058920348328946</x:v>
      </x:c>
      <x:c r="N76" s="19" t="str">
        <x:f>IF(ABS(J76)&lt;=0.05,"Weak or Uncertain History",IF(J76&gt;0,"Historically Better With More","Historically Better With Less"))</x:f>
        <x:v>Historically Better With Less</x:v>
      </x:c>
    </x:row>
    <x:row r="77" ht="23" customHeight="1">
      <x:c r="A77" s="20" t="str">
        <x:v>case_07|team_passing_control</x:v>
      </x:c>
      <x:c r="B77" s="15" t="str">
        <x:v>case_07</x:v>
      </x:c>
      <x:c r="C77" s="15" t="str">
        <x:v>Oriol Romeu</x:v>
      </x:c>
      <x:c r="D77" s="15" t="str">
        <x:v>FC Barcelona</x:v>
      </x:c>
      <x:c r="E77" s="15" t="str">
        <x:v>team_passing_control</x:v>
      </x:c>
      <x:c r="F77" s="15" t="str">
        <x:v>Team passing control</x:v>
      </x:c>
      <x:c r="G77" s="40" t="n">
        <x:v>0.7870980255943533</x:v>
      </x:c>
      <x:c r="H77" s="40" t="n">
        <x:v>-0.1870980775243747</x:v>
      </x:c>
      <x:c r="I77" s="40" t="n">
        <x:v>-0.1876028323248497</x:v>
      </x:c>
      <x:c r="J77" s="36" t="n">
        <x:v>-0.0224327964371733</x:v>
      </x:c>
      <x:c r="K77" s="40" t="n">
        <x:f>IFERROR(ABS(G77-H77),"")</x:f>
        <x:v>0.974196103118728</x:v>
      </x:c>
      <x:c r="L77" s="40" t="n">
        <x:f>IFERROR(ABS(G77-I77),"")</x:f>
        <x:v>0.9747008579192029</x:v>
      </x:c>
      <x:c r="M77" s="36" t="n">
        <x:f>IFERROR(G77*J77,"")</x:f>
        <x:v>-0.017656809784259146</x:v>
      </x:c>
      <x:c r="N77" s="20" t="str">
        <x:f>IF(ABS(J77)&lt;=0.05,"Weak or Uncertain History",IF(J77&gt;0,"Historically Better With More","Historically Better With Less"))</x:f>
        <x:v>Weak or Uncertain History</x:v>
      </x:c>
    </x:row>
  </x:sheetData>
  <x:mergeCells>
    <x:mergeCell ref="A1:N2"/>
    <x:mergeCell ref="A3:N3"/>
  </x:mergeCells>
  <x:conditionalFormatting sqref="L6:L77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0e5df22a8b4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18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22" hidden="0" customWidth="1"/>
    <x:col min="10" max="10" width="24" hidden="0" customWidth="1"/>
    <x:col min="11" max="11" width="23" hidden="0" customWidth="1"/>
    <x:col min="12" max="12" width="15" hidden="0" customWidth="1"/>
    <x:col min="13" max="13" width="14" hidden="0" customWidth="1"/>
    <x:col min="14" max="14" width="37" hidden="0" customWidth="1"/>
  </x:cols>
  <x:sheetData>
    <x:row r="1" ht="23" customHeight="1">
      <x:c r="A1" s="3" t="str">
        <x:v>Case feature coverage and timing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7" t="str">
        <x:v>Every source season must precede the destination outcome season. Counts help separate strong history from sparse preference evidence.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A5" s="14" t="str">
        <x:v>Case ID</x:v>
      </x:c>
      <x:c r="B5" s="14" t="str">
        <x:v>Player</x:v>
      </x:c>
      <x:c r="C5" s="14" t="str">
        <x:v>Destination</x:v>
      </x:c>
      <x:c r="D5" s="14" t="str">
        <x:v>Rolling-3 Seasons</x:v>
      </x:c>
      <x:c r="E5" s="14" t="str">
        <x:v>Preference Seasons</x:v>
      </x:c>
      <x:c r="F5" s="14" t="str">
        <x:v>Preference Minutes</x:v>
      </x:c>
      <x:c r="G5" s="14" t="str">
        <x:v>Prior-Team Players</x:v>
      </x:c>
      <x:c r="H5" s="14" t="str">
        <x:v>Prior-Team Minutes</x:v>
      </x:c>
      <x:c r="I5" s="14" t="str">
        <x:v>Player Max Source Season</x:v>
      </x:c>
      <x:c r="J5" s="14" t="str">
        <x:v>Preference Max Source Season</x:v>
      </x:c>
      <x:c r="K5" s="14" t="str">
        <x:v>Club Context Source Season</x:v>
      </x:c>
      <x:c r="L5" s="14" t="str">
        <x:v>Target Season</x:v>
      </x:c>
      <x:c r="M5" s="14" t="str">
        <x:v>Timing Safe?</x:v>
      </x:c>
      <x:c r="N5" s="14" t="str">
        <x:v>Timing Assessment</x:v>
      </x:c>
    </x:row>
    <x:row r="6" ht="23" customHeight="1">
      <x:c r="A6" s="17" t="str">
        <x:v>case_01</x:v>
      </x:c>
      <x:c r="B6" s="17" t="str">
        <x:v>Craig Dawson</x:v>
      </x:c>
      <x:c r="C6" s="17" t="str">
        <x:v>West Ham United</x:v>
      </x:c>
      <x:c r="D6" s="41" t="n">
        <x:v>2</x:v>
      </x:c>
      <x:c r="E6" s="41" t="n">
        <x:v>3</x:v>
      </x:c>
      <x:c r="F6" s="43" t="n">
        <x:v>6796</x:v>
      </x:c>
      <x:c r="G6" s="41" t="n">
        <x:v>20</x:v>
      </x:c>
      <x:c r="H6" s="43" t="n">
        <x:v>34126</x:v>
      </x:c>
      <x:c r="I6" s="41" t="n">
        <x:v>2020</x:v>
      </x:c>
      <x:c r="J6" s="41" t="n">
        <x:v>2020</x:v>
      </x:c>
      <x:c r="K6" s="41" t="n">
        <x:v>2020</x:v>
      </x:c>
      <x:c r="L6" s="41" t="n">
        <x:v>2021</x:v>
      </x:c>
      <x:c r="M6" s="46" t="b">
        <x:v>1</x:v>
      </x:c>
      <x:c r="N6" s="19" t="str">
        <x:v>All feature sources precede target season</x:v>
      </x:c>
    </x:row>
    <x:row r="7" ht="23" customHeight="1">
      <x:c r="A7" s="15" t="str">
        <x:v>case_04</x:v>
      </x:c>
      <x:c r="B7" s="15" t="str">
        <x:v>Keita Baldé</x:v>
      </x:c>
      <x:c r="C7" s="15" t="str">
        <x:v>Cagliari Calcio</x:v>
      </x:c>
      <x:c r="D7" s="42" t="n">
        <x:v>3</x:v>
      </x:c>
      <x:c r="E7" s="42" t="n">
        <x:v>4</x:v>
      </x:c>
      <x:c r="F7" s="44" t="n">
        <x:v>4417</x:v>
      </x:c>
      <x:c r="G7" s="42" t="n">
        <x:v>29</x:v>
      </x:c>
      <x:c r="H7" s="44" t="n">
        <x:v>34141</x:v>
      </x:c>
      <x:c r="I7" s="42" t="n">
        <x:v>2020</x:v>
      </x:c>
      <x:c r="J7" s="42" t="n">
        <x:v>2020</x:v>
      </x:c>
      <x:c r="K7" s="42" t="n">
        <x:v>2020</x:v>
      </x:c>
      <x:c r="L7" s="42" t="n">
        <x:v>2021</x:v>
      </x:c>
      <x:c r="M7" s="46" t="b">
        <x:v>1</x:v>
      </x:c>
      <x:c r="N7" s="20" t="str">
        <x:v>All feature sources precede target season</x:v>
      </x:c>
    </x:row>
    <x:row r="8" ht="23" customHeight="1">
      <x:c r="A8" s="17" t="str">
        <x:v>case_10</x:v>
      </x:c>
      <x:c r="B8" s="17" t="str">
        <x:v>Lucas Perrin</x:v>
      </x:c>
      <x:c r="C8" s="17" t="str">
        <x:v>RC Strasbourg Alsace</x:v>
      </x:c>
      <x:c r="D8" s="41" t="n">
        <x:v>2</x:v>
      </x:c>
      <x:c r="E8" s="41" t="n">
        <x:v>2</x:v>
      </x:c>
      <x:c r="F8" s="43" t="n">
        <x:v>668</x:v>
      </x:c>
      <x:c r="G8" s="41" t="n">
        <x:v>21</x:v>
      </x:c>
      <x:c r="H8" s="43" t="n">
        <x:v>33923</x:v>
      </x:c>
      <x:c r="I8" s="41" t="n">
        <x:v>2020</x:v>
      </x:c>
      <x:c r="J8" s="41" t="n">
        <x:v>2020</x:v>
      </x:c>
      <x:c r="K8" s="41" t="n">
        <x:v>2020</x:v>
      </x:c>
      <x:c r="L8" s="41" t="n">
        <x:v>2021</x:v>
      </x:c>
      <x:c r="M8" s="46" t="b">
        <x:v>1</x:v>
      </x:c>
      <x:c r="N8" s="19" t="str">
        <x:v>All feature sources precede target season</x:v>
      </x:c>
    </x:row>
    <x:row r="9" ht="23" customHeight="1">
      <x:c r="A9" s="15" t="str">
        <x:v>case_11</x:v>
      </x:c>
      <x:c r="B9" s="15" t="str">
        <x:v>Gaëtan Laborde</x:v>
      </x:c>
      <x:c r="C9" s="15" t="str">
        <x:v>OGC Nice</x:v>
      </x:c>
      <x:c r="D9" s="42" t="n">
        <x:v>3</x:v>
      </x:c>
      <x:c r="E9" s="42" t="n">
        <x:v>5</x:v>
      </x:c>
      <x:c r="F9" s="44" t="n">
        <x:v>12505</x:v>
      </x:c>
      <x:c r="G9" s="42" t="n">
        <x:v>24</x:v>
      </x:c>
      <x:c r="H9" s="44" t="n">
        <x:v>33961</x:v>
      </x:c>
      <x:c r="I9" s="42" t="n">
        <x:v>2021</x:v>
      </x:c>
      <x:c r="J9" s="42" t="n">
        <x:v>2021</x:v>
      </x:c>
      <x:c r="K9" s="42" t="n">
        <x:v>2021</x:v>
      </x:c>
      <x:c r="L9" s="42" t="n">
        <x:v>2022</x:v>
      </x:c>
      <x:c r="M9" s="46" t="b">
        <x:v>1</x:v>
      </x:c>
      <x:c r="N9" s="20" t="str">
        <x:v>All feature sources precede target season</x:v>
      </x:c>
    </x:row>
    <x:row r="10" ht="23" customHeight="1">
      <x:c r="A10" s="17" t="str">
        <x:v>case_05</x:v>
      </x:c>
      <x:c r="B10" s="17" t="str">
        <x:v>Philippe Coutinho</x:v>
      </x:c>
      <x:c r="C10" s="17" t="str">
        <x:v>Aston Villa</x:v>
      </x:c>
      <x:c r="D10" s="41" t="n">
        <x:v>3</x:v>
      </x:c>
      <x:c r="E10" s="41" t="n">
        <x:v>5</x:v>
      </x:c>
      <x:c r="F10" s="43" t="n">
        <x:v>8320</x:v>
      </x:c>
      <x:c r="G10" s="41" t="n">
        <x:v>23</x:v>
      </x:c>
      <x:c r="H10" s="43" t="n">
        <x:v>34018</x:v>
      </x:c>
      <x:c r="I10" s="41" t="n">
        <x:v>2021</x:v>
      </x:c>
      <x:c r="J10" s="41" t="n">
        <x:v>2021</x:v>
      </x:c>
      <x:c r="K10" s="41" t="n">
        <x:v>2021</x:v>
      </x:c>
      <x:c r="L10" s="41" t="n">
        <x:v>2022</x:v>
      </x:c>
      <x:c r="M10" s="46" t="b">
        <x:v>1</x:v>
      </x:c>
      <x:c r="N10" s="19" t="str">
        <x:v>All feature sources precede target season</x:v>
      </x:c>
    </x:row>
    <x:row r="11" ht="23" customHeight="1">
      <x:c r="A11" s="15" t="str">
        <x:v>case_09</x:v>
      </x:c>
      <x:c r="B11" s="15" t="str">
        <x:v>Yayah Kallon</x:v>
      </x:c>
      <x:c r="C11" s="15" t="str">
        <x:v>Hellas Verona</x:v>
      </x:c>
      <x:c r="D11" s="42" t="n">
        <x:v>1</x:v>
      </x:c>
      <x:c r="E11" s="42" t="n">
        <x:v>1</x:v>
      </x:c>
      <x:c r="F11" s="44" t="n">
        <x:v>636</x:v>
      </x:c>
      <x:c r="G11" s="42" t="n">
        <x:v>24</x:v>
      </x:c>
      <x:c r="H11" s="44" t="n">
        <x:v>33946</x:v>
      </x:c>
      <x:c r="I11" s="42" t="n">
        <x:v>2021</x:v>
      </x:c>
      <x:c r="J11" s="42" t="n">
        <x:v>2021</x:v>
      </x:c>
      <x:c r="K11" s="42" t="n">
        <x:v>2021</x:v>
      </x:c>
      <x:c r="L11" s="42" t="n">
        <x:v>2022</x:v>
      </x:c>
      <x:c r="M11" s="46" t="b">
        <x:v>1</x:v>
      </x:c>
      <x:c r="N11" s="20" t="str">
        <x:v>All feature sources precede target season</x:v>
      </x:c>
    </x:row>
    <x:row r="12" ht="23" customHeight="1">
      <x:c r="A12" s="17" t="str">
        <x:v>case_02</x:v>
      </x:c>
      <x:c r="B12" s="17" t="str">
        <x:v>Óscar Rodríguez Arnaiz</x:v>
      </x:c>
      <x:c r="C12" s="17" t="str">
        <x:v>Celta de Vigo</x:v>
      </x:c>
      <x:c r="D12" s="41" t="n">
        <x:v>3</x:v>
      </x:c>
      <x:c r="E12" s="41" t="n">
        <x:v>4</x:v>
      </x:c>
      <x:c r="F12" s="43" t="n">
        <x:v>6289</x:v>
      </x:c>
      <x:c r="G12" s="41" t="n">
        <x:v>22</x:v>
      </x:c>
      <x:c r="H12" s="43" t="n">
        <x:v>34148</x:v>
      </x:c>
      <x:c r="I12" s="41" t="n">
        <x:v>2021</x:v>
      </x:c>
      <x:c r="J12" s="41" t="n">
        <x:v>2021</x:v>
      </x:c>
      <x:c r="K12" s="41" t="n">
        <x:v>2021</x:v>
      </x:c>
      <x:c r="L12" s="41" t="n">
        <x:v>2022</x:v>
      </x:c>
      <x:c r="M12" s="46" t="b">
        <x:v>1</x:v>
      </x:c>
      <x:c r="N12" s="19" t="str">
        <x:v>All feature sources precede target season</x:v>
      </x:c>
    </x:row>
    <x:row r="13" ht="23" customHeight="1">
      <x:c r="A13" s="15" t="str">
        <x:v>case_12</x:v>
      </x:c>
      <x:c r="B13" s="15" t="str">
        <x:v>Antonio Candreva</x:v>
      </x:c>
      <x:c r="C13" s="15" t="str">
        <x:v>US Salernitana 1919</x:v>
      </x:c>
      <x:c r="D13" s="42" t="n">
        <x:v>3</x:v>
      </x:c>
      <x:c r="E13" s="42" t="n">
        <x:v>6</x:v>
      </x:c>
      <x:c r="F13" s="44" t="n">
        <x:v>13382</x:v>
      </x:c>
      <x:c r="G13" s="42" t="n">
        <x:v>24</x:v>
      </x:c>
      <x:c r="H13" s="44" t="n">
        <x:v>34118</x:v>
      </x:c>
      <x:c r="I13" s="42" t="n">
        <x:v>2022</x:v>
      </x:c>
      <x:c r="J13" s="42" t="n">
        <x:v>2022</x:v>
      </x:c>
      <x:c r="K13" s="42" t="n">
        <x:v>2022</x:v>
      </x:c>
      <x:c r="L13" s="42" t="n">
        <x:v>2023</x:v>
      </x:c>
      <x:c r="M13" s="46" t="b">
        <x:v>1</x:v>
      </x:c>
      <x:c r="N13" s="20" t="str">
        <x:v>All feature sources precede target season</x:v>
      </x:c>
    </x:row>
    <x:row r="14" ht="23" customHeight="1">
      <x:c r="A14" s="17" t="str">
        <x:v>case_08</x:v>
      </x:c>
      <x:c r="B14" s="17" t="str">
        <x:v>Aridane Hernández</x:v>
      </x:c>
      <x:c r="C14" s="17" t="str">
        <x:v>Rayo Vallecano</x:v>
      </x:c>
      <x:c r="D14" s="41" t="n">
        <x:v>3</x:v>
      </x:c>
      <x:c r="E14" s="41" t="n">
        <x:v>4</x:v>
      </x:c>
      <x:c r="F14" s="43" t="n">
        <x:v>7588</x:v>
      </x:c>
      <x:c r="G14" s="41" t="n">
        <x:v>19</x:v>
      </x:c>
      <x:c r="H14" s="43" t="n">
        <x:v>27443</x:v>
      </x:c>
      <x:c r="I14" s="41" t="n">
        <x:v>2022</x:v>
      </x:c>
      <x:c r="J14" s="41" t="n">
        <x:v>2022</x:v>
      </x:c>
      <x:c r="K14" s="41" t="n">
        <x:v>2022</x:v>
      </x:c>
      <x:c r="L14" s="41" t="n">
        <x:v>2023</x:v>
      </x:c>
      <x:c r="M14" s="46" t="b">
        <x:v>1</x:v>
      </x:c>
      <x:c r="N14" s="19" t="str">
        <x:v>All feature sources precede target season</x:v>
      </x:c>
    </x:row>
    <x:row r="15" ht="23" customHeight="1">
      <x:c r="A15" s="15" t="str">
        <x:v>case_06</x:v>
      </x:c>
      <x:c r="B15" s="15" t="str">
        <x:v>Faride Alidou</x:v>
      </x:c>
      <x:c r="C15" s="15" t="str">
        <x:v>1.FC Köln</x:v>
      </x:c>
      <x:c r="D15" s="42" t="n">
        <x:v>1</x:v>
      </x:c>
      <x:c r="E15" s="42" t="n">
        <x:v>1</x:v>
      </x:c>
      <x:c r="F15" s="44" t="n">
        <x:v>182</x:v>
      </x:c>
      <x:c r="G15" s="42" t="n">
        <x:v>24</x:v>
      </x:c>
      <x:c r="H15" s="44" t="n">
        <x:v>28660</x:v>
      </x:c>
      <x:c r="I15" s="42" t="n">
        <x:v>2022</x:v>
      </x:c>
      <x:c r="J15" s="42" t="n">
        <x:v>2022</x:v>
      </x:c>
      <x:c r="K15" s="42" t="n">
        <x:v>2022</x:v>
      </x:c>
      <x:c r="L15" s="42" t="n">
        <x:v>2023</x:v>
      </x:c>
      <x:c r="M15" s="46" t="b">
        <x:v>1</x:v>
      </x:c>
      <x:c r="N15" s="20" t="str">
        <x:v>All feature sources precede target season</x:v>
      </x:c>
    </x:row>
    <x:row r="16" ht="23" customHeight="1">
      <x:c r="A16" s="17" t="str">
        <x:v>case_03</x:v>
      </x:c>
      <x:c r="B16" s="17" t="str">
        <x:v>Jorge Meré</x:v>
      </x:c>
      <x:c r="C16" s="17" t="str">
        <x:v>Cádiz CF</x:v>
      </x:c>
      <x:c r="D16" s="41" t="n">
        <x:v>3</x:v>
      </x:c>
      <x:c r="E16" s="41" t="n">
        <x:v>5</x:v>
      </x:c>
      <x:c r="F16" s="43" t="n">
        <x:v>4900</x:v>
      </x:c>
      <x:c r="G16" s="41" t="n">
        <x:v>31</x:v>
      </x:c>
      <x:c r="H16" s="43" t="n">
        <x:v>32506</x:v>
      </x:c>
      <x:c r="I16" s="41" t="n">
        <x:v>2022</x:v>
      </x:c>
      <x:c r="J16" s="41" t="n">
        <x:v>2022</x:v>
      </x:c>
      <x:c r="K16" s="41" t="n">
        <x:v>2022</x:v>
      </x:c>
      <x:c r="L16" s="41" t="n">
        <x:v>2023</x:v>
      </x:c>
      <x:c r="M16" s="46" t="b">
        <x:v>1</x:v>
      </x:c>
      <x:c r="N16" s="19" t="str">
        <x:v>All feature sources precede target season</x:v>
      </x:c>
    </x:row>
    <x:row r="17" ht="23" customHeight="1">
      <x:c r="A17" s="15" t="str">
        <x:v>case_07</x:v>
      </x:c>
      <x:c r="B17" s="15" t="str">
        <x:v>Oriol Romeu</x:v>
      </x:c>
      <x:c r="C17" s="15" t="str">
        <x:v>FC Barcelona</x:v>
      </x:c>
      <x:c r="D17" s="42" t="n">
        <x:v>3</x:v>
      </x:c>
      <x:c r="E17" s="42" t="n">
        <x:v>6</x:v>
      </x:c>
      <x:c r="F17" s="44" t="n">
        <x:v>14569</x:v>
      </x:c>
      <x:c r="G17" s="42" t="n">
        <x:v>22</x:v>
      </x:c>
      <x:c r="H17" s="44" t="n">
        <x:v>33936</x:v>
      </x:c>
      <x:c r="I17" s="42" t="n">
        <x:v>2022</x:v>
      </x:c>
      <x:c r="J17" s="42" t="n">
        <x:v>2022</x:v>
      </x:c>
      <x:c r="K17" s="42" t="n">
        <x:v>2022</x:v>
      </x:c>
      <x:c r="L17" s="42" t="n">
        <x:v>2023</x:v>
      </x:c>
      <x:c r="M17" s="46" t="b">
        <x:v>1</x:v>
      </x:c>
      <x:c r="N17" s="20" t="str">
        <x:v>All feature sources precede target season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446aa0cf104742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3" hidden="0" customWidth="1"/>
    <x:col min="4" max="4" width="25" hidden="0" customWidth="1"/>
    <x:col min="5" max="5" width="19" hidden="0" customWidth="1"/>
    <x:col min="6" max="6" width="16" hidden="0" customWidth="1"/>
    <x:col min="7" max="7" width="21" hidden="0" customWidth="1"/>
    <x:col min="8" max="8" width="21" hidden="0" customWidth="1"/>
    <x:col min="9" max="9" width="22" hidden="0" customWidth="1"/>
    <x:col min="10" max="10" width="21" hidden="0" customWidth="1"/>
    <x:col min="11" max="11" width="25" hidden="0" customWidth="1"/>
    <x:col min="12" max="12" width="30" hidden="0" customWidth="1"/>
    <x:col min="13" max="13" width="18" hidden="0" customWidth="1"/>
    <x:col min="14" max="14" width="27" hidden="0" customWidth="1"/>
    <x:col min="15" max="15" width="18" hidden="0" customWidth="1"/>
    <x:col min="16" max="16" width="48" hidden="0" customWidth="1"/>
  </x:cols>
  <x:sheetData>
    <x:row r="1" ht="23" customHeight="1">
      <x:c r="A1" s="3" t="str">
        <x:v>StatsBomb event-detail availability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3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0" customHeight="1">
      <x:c r="A3" s="7" t="str">
        <x:v>Supplementary only: open-data coverage is selected-match, identities require manual review, and these fields never affect selection or primary conclusions.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34" customHeight="1">
      <x:c r="A5" s="14" t="str">
        <x:v>Case ID</x:v>
      </x:c>
      <x:c r="B5" s="14" t="str">
        <x:v>Player</x:v>
      </x:c>
      <x:c r="C5" s="14" t="str">
        <x:v>Origin Club</x:v>
      </x:c>
      <x:c r="D5" s="14" t="str">
        <x:v>Destination Club</x:v>
      </x:c>
      <x:c r="E5" s="14" t="str">
        <x:v>StatsBomb Player ID</x:v>
      </x:c>
      <x:c r="F5" s="14" t="str">
        <x:v>Origin Team ID</x:v>
      </x:c>
      <x:c r="G5" s="14" t="str">
        <x:v>Destination Team ID</x:v>
      </x:c>
      <x:c r="H5" s="14" t="str">
        <x:v>Player Matches Pre-365</x:v>
      </x:c>
      <x:c r="I5" s="14" t="str">
        <x:v>Player Matches Post-365</x:v>
      </x:c>
      <x:c r="J5" s="14" t="str">
        <x:v>Origin Matches Pre-365</x:v>
      </x:c>
      <x:c r="K5" s="14" t="str">
        <x:v>Destination Matches Pre-365</x:v>
      </x:c>
      <x:c r="L5" s="14" t="str">
        <x:v>Suggested Use</x:v>
      </x:c>
      <x:c r="M5" s="14" t="str">
        <x:v>Country Agreement</x:v>
      </x:c>
      <x:c r="N5" s="14" t="str">
        <x:v>Link Method</x:v>
      </x:c>
      <x:c r="O5" s="14" t="str">
        <x:v>Manual Review</x:v>
      </x:c>
      <x:c r="P5" s="14" t="str">
        <x:v>Evidence Policy</x:v>
      </x:c>
    </x:row>
    <x:row r="6" ht="34" customHeight="1">
      <x:c r="A6" s="17" t="str">
        <x:v>case_01</x:v>
      </x:c>
      <x:c r="B6" s="17" t="str">
        <x:v>Craig Dawson</x:v>
      </x:c>
      <x:c r="C6" s="17" t="str">
        <x:v>Watford</x:v>
      </x:c>
      <x:c r="D6" s="17" t="str">
        <x:v>West Ham United</x:v>
      </x:c>
      <x:c r="E6" s="17"/>
      <x:c r="F6" s="17"/>
      <x:c r="G6" s="17"/>
      <x:c r="H6" s="17"/>
      <x:c r="I6" s="17"/>
      <x:c r="J6" s="17"/>
      <x:c r="K6" s="17"/>
      <x:c r="L6" s="19"/>
      <x:c r="M6" s="17"/>
      <x:c r="N6" s="19"/>
      <x:c r="O6" s="17"/>
      <x:c r="P6" s="48" t="str">
        <x:v>not_available_for_case</x:v>
      </x:c>
    </x:row>
    <x:row r="7" ht="34" customHeight="1">
      <x:c r="A7" s="15" t="str">
        <x:v>case_02</x:v>
      </x:c>
      <x:c r="B7" s="15" t="str">
        <x:v>Óscar Rodríguez Arnaiz</x:v>
      </x:c>
      <x:c r="C7" s="15" t="str">
        <x:v>Sevilla FC</x:v>
      </x:c>
      <x:c r="D7" s="15" t="str">
        <x:v>Celta de Vigo</x:v>
      </x:c>
      <x:c r="E7" s="15"/>
      <x:c r="F7" s="15"/>
      <x:c r="G7" s="15"/>
      <x:c r="H7" s="15"/>
      <x:c r="I7" s="15"/>
      <x:c r="J7" s="15"/>
      <x:c r="K7" s="15"/>
      <x:c r="L7" s="20"/>
      <x:c r="M7" s="15"/>
      <x:c r="N7" s="20"/>
      <x:c r="O7" s="15"/>
      <x:c r="P7" s="48" t="str">
        <x:v>not_available_for_case</x:v>
      </x:c>
    </x:row>
    <x:row r="8" ht="34" customHeight="1">
      <x:c r="A8" s="17" t="str">
        <x:v>case_03</x:v>
      </x:c>
      <x:c r="B8" s="17" t="str">
        <x:v>Jorge Meré</x:v>
      </x:c>
      <x:c r="C8" s="17" t="str">
        <x:v>América</x:v>
      </x:c>
      <x:c r="D8" s="17" t="str">
        <x:v>Cádiz CF</x:v>
      </x:c>
      <x:c r="E8" s="17"/>
      <x:c r="F8" s="17"/>
      <x:c r="G8" s="17"/>
      <x:c r="H8" s="17"/>
      <x:c r="I8" s="17"/>
      <x:c r="J8" s="17"/>
      <x:c r="K8" s="17"/>
      <x:c r="L8" s="19"/>
      <x:c r="M8" s="17"/>
      <x:c r="N8" s="19"/>
      <x:c r="O8" s="17"/>
      <x:c r="P8" s="48" t="str">
        <x:v>not_available_for_case</x:v>
      </x:c>
    </x:row>
    <x:row r="9" ht="34" customHeight="1">
      <x:c r="A9" s="15" t="str">
        <x:v>case_04</x:v>
      </x:c>
      <x:c r="B9" s="15" t="str">
        <x:v>Keita Baldé</x:v>
      </x:c>
      <x:c r="C9" s="15" t="str">
        <x:v>Monaco</x:v>
      </x:c>
      <x:c r="D9" s="15" t="str">
        <x:v>Cagliari Calcio</x:v>
      </x:c>
      <x:c r="E9" s="15"/>
      <x:c r="F9" s="15"/>
      <x:c r="G9" s="15"/>
      <x:c r="H9" s="15"/>
      <x:c r="I9" s="15"/>
      <x:c r="J9" s="15"/>
      <x:c r="K9" s="15"/>
      <x:c r="L9" s="20"/>
      <x:c r="M9" s="15"/>
      <x:c r="N9" s="20"/>
      <x:c r="O9" s="15"/>
      <x:c r="P9" s="48" t="str">
        <x:v>not_available_for_case</x:v>
      </x:c>
    </x:row>
    <x:row r="10" ht="34" customHeight="1">
      <x:c r="A10" s="17" t="str">
        <x:v>case_05</x:v>
      </x:c>
      <x:c r="B10" s="17" t="str">
        <x:v>Philippe Coutinho</x:v>
      </x:c>
      <x:c r="C10" s="17" t="str">
        <x:v>Barcelona</x:v>
      </x:c>
      <x:c r="D10" s="17" t="str">
        <x:v>Aston Villa</x:v>
      </x:c>
      <x:c r="E10" s="17"/>
      <x:c r="F10" s="17"/>
      <x:c r="G10" s="17"/>
      <x:c r="H10" s="17"/>
      <x:c r="I10" s="17"/>
      <x:c r="J10" s="17"/>
      <x:c r="K10" s="17"/>
      <x:c r="L10" s="19"/>
      <x:c r="M10" s="17"/>
      <x:c r="N10" s="19"/>
      <x:c r="O10" s="17"/>
      <x:c r="P10" s="48" t="str">
        <x:v>not_available_for_case</x:v>
      </x:c>
    </x:row>
    <x:row r="11" ht="34" customHeight="1">
      <x:c r="A11" s="15" t="str">
        <x:v>case_06</x:v>
      </x:c>
      <x:c r="B11" s="15" t="str">
        <x:v>Faride Alidou</x:v>
      </x:c>
      <x:c r="C11" s="15" t="str">
        <x:v>Frankfurt</x:v>
      </x:c>
      <x:c r="D11" s="15" t="str">
        <x:v>1.FC Köln</x:v>
      </x:c>
      <x:c r="E11" s="15" t="n">
        <x:v>134880</x:v>
      </x:c>
      <x:c r="F11" s="15" t="n">
        <x:v>184</x:v>
      </x:c>
      <x:c r="G11" s="15"/>
      <x:c r="H11" s="15" t="n">
        <x:v>0</x:v>
      </x:c>
      <x:c r="I11" s="15" t="n">
        <x:v>2</x:v>
      </x:c>
      <x:c r="J11" s="15" t="n">
        <x:v>0</x:v>
      </x:c>
      <x:c r="K11" s="15" t="n">
        <x:v>0</x:v>
      </x:c>
      <x:c r="L11" s="20" t="str">
        <x:v>club_context_only</x:v>
      </x:c>
      <x:c r="M11" s="16" t="b">
        <x:v>1</x:v>
      </x:c>
      <x:c r="N11" s="20" t="str">
        <x:v>exact_normalized_name_only</x:v>
      </x:c>
      <x:c r="O11" s="15" t="str">
        <x:v>required</x:v>
      </x:c>
      <x:c r="P11" s="24" t="str">
        <x:v>supplementary_only_manual_identity_review_required</x:v>
      </x:c>
    </x:row>
    <x:row r="12" ht="34" customHeight="1">
      <x:c r="A12" s="17" t="str">
        <x:v>case_07</x:v>
      </x:c>
      <x:c r="B12" s="17" t="str">
        <x:v>Oriol Romeu</x:v>
      </x:c>
      <x:c r="C12" s="17" t="str">
        <x:v>Girona</x:v>
      </x:c>
      <x:c r="D12" s="17" t="str">
        <x:v>FC Barcelona</x:v>
      </x:c>
      <x:c r="E12" s="17"/>
      <x:c r="F12" s="17"/>
      <x:c r="G12" s="17"/>
      <x:c r="H12" s="17"/>
      <x:c r="I12" s="17"/>
      <x:c r="J12" s="17"/>
      <x:c r="K12" s="17"/>
      <x:c r="L12" s="19"/>
      <x:c r="M12" s="17"/>
      <x:c r="N12" s="19"/>
      <x:c r="O12" s="17"/>
      <x:c r="P12" s="48" t="str">
        <x:v>not_available_for_case</x:v>
      </x:c>
    </x:row>
    <x:row r="13" ht="34" customHeight="1">
      <x:c r="A13" s="15" t="str">
        <x:v>case_08</x:v>
      </x:c>
      <x:c r="B13" s="15" t="str">
        <x:v>Aridane Hernández</x:v>
      </x:c>
      <x:c r="C13" s="15" t="str">
        <x:v>CA Osasuna</x:v>
      </x:c>
      <x:c r="D13" s="15" t="str">
        <x:v>Rayo Vallecano</x:v>
      </x:c>
      <x:c r="E13" s="15"/>
      <x:c r="F13" s="15"/>
      <x:c r="G13" s="15"/>
      <x:c r="H13" s="15"/>
      <x:c r="I13" s="15"/>
      <x:c r="J13" s="15"/>
      <x:c r="K13" s="15"/>
      <x:c r="L13" s="20"/>
      <x:c r="M13" s="15"/>
      <x:c r="N13" s="20"/>
      <x:c r="O13" s="15"/>
      <x:c r="P13" s="48" t="str">
        <x:v>not_available_for_case</x:v>
      </x:c>
    </x:row>
    <x:row r="14" ht="34" customHeight="1">
      <x:c r="A14" s="17" t="str">
        <x:v>case_09</x:v>
      </x:c>
      <x:c r="B14" s="17" t="str">
        <x:v>Yayah Kallon</x:v>
      </x:c>
      <x:c r="C14" s="17" t="str">
        <x:v>Genoa</x:v>
      </x:c>
      <x:c r="D14" s="17" t="str">
        <x:v>Hellas Verona</x:v>
      </x:c>
      <x:c r="E14" s="17"/>
      <x:c r="F14" s="17"/>
      <x:c r="G14" s="17"/>
      <x:c r="H14" s="17"/>
      <x:c r="I14" s="17"/>
      <x:c r="J14" s="17"/>
      <x:c r="K14" s="17"/>
      <x:c r="L14" s="19"/>
      <x:c r="M14" s="17"/>
      <x:c r="N14" s="19"/>
      <x:c r="O14" s="17"/>
      <x:c r="P14" s="48" t="str">
        <x:v>not_available_for_case</x:v>
      </x:c>
    </x:row>
    <x:row r="15" ht="34" customHeight="1">
      <x:c r="A15" s="15" t="str">
        <x:v>case_10</x:v>
      </x:c>
      <x:c r="B15" s="15" t="str">
        <x:v>Lucas Perrin</x:v>
      </x:c>
      <x:c r="C15" s="15" t="str">
        <x:v>Marseille</x:v>
      </x:c>
      <x:c r="D15" s="15" t="str">
        <x:v>RC Strasbourg Alsace</x:v>
      </x:c>
      <x:c r="E15" s="15" t="n">
        <x:v>32028</x:v>
      </x:c>
      <x:c r="F15" s="15"/>
      <x:c r="G15" s="15"/>
      <x:c r="H15" s="15" t="n">
        <x:v>0</x:v>
      </x:c>
      <x:c r="I15" s="15" t="n">
        <x:v>1</x:v>
      </x:c>
      <x:c r="J15" s="15" t="n">
        <x:v>0</x:v>
      </x:c>
      <x:c r="K15" s="15" t="n">
        <x:v>0</x:v>
      </x:c>
      <x:c r="L15" s="20" t="str">
        <x:v>club_context_only</x:v>
      </x:c>
      <x:c r="M15" s="16" t="b">
        <x:v>1</x:v>
      </x:c>
      <x:c r="N15" s="20" t="str">
        <x:v>exact_normalized_name_only</x:v>
      </x:c>
      <x:c r="O15" s="15" t="str">
        <x:v>required</x:v>
      </x:c>
      <x:c r="P15" s="24" t="str">
        <x:v>supplementary_only_manual_identity_review_required</x:v>
      </x:c>
    </x:row>
    <x:row r="16" ht="34" customHeight="1">
      <x:c r="A16" s="17" t="str">
        <x:v>case_11</x:v>
      </x:c>
      <x:c r="B16" s="17" t="str">
        <x:v>Gaëtan Laborde</x:v>
      </x:c>
      <x:c r="C16" s="17" t="str">
        <x:v>Stade Rennais</x:v>
      </x:c>
      <x:c r="D16" s="17" t="str">
        <x:v>OGC Nice</x:v>
      </x:c>
      <x:c r="E16" s="17" t="n">
        <x:v>3190</x:v>
      </x:c>
      <x:c r="F16" s="17"/>
      <x:c r="G16" s="17" t="n">
        <x:v>136</x:v>
      </x:c>
      <x:c r="H16" s="17" t="n">
        <x:v>2</x:v>
      </x:c>
      <x:c r="I16" s="17" t="n">
        <x:v>2</x:v>
      </x:c>
      <x:c r="J16" s="17" t="n">
        <x:v>0</x:v>
      </x:c>
      <x:c r="K16" s="17" t="n">
        <x:v>2</x:v>
      </x:c>
      <x:c r="L16" s="19" t="str">
        <x:v>pre_transfer_player_snapshot</x:v>
      </x:c>
      <x:c r="M16" s="18" t="b">
        <x:v>1</x:v>
      </x:c>
      <x:c r="N16" s="19" t="str">
        <x:v>exact_normalized_name_only</x:v>
      </x:c>
      <x:c r="O16" s="17" t="str">
        <x:v>required</x:v>
      </x:c>
      <x:c r="P16" s="24" t="str">
        <x:v>supplementary_only_manual_identity_review_required</x:v>
      </x:c>
    </x:row>
    <x:row r="17" ht="34" customHeight="1">
      <x:c r="A17" s="15" t="str">
        <x:v>case_12</x:v>
      </x:c>
      <x:c r="B17" s="15" t="str">
        <x:v>Antonio Candreva</x:v>
      </x:c>
      <x:c r="C17" s="15" t="str">
        <x:v>Sampdoria</x:v>
      </x:c>
      <x:c r="D17" s="15" t="str">
        <x:v>US Salernitana 1919</x:v>
      </x:c>
      <x:c r="E17" s="15"/>
      <x:c r="F17" s="15"/>
      <x:c r="G17" s="15"/>
      <x:c r="H17" s="15"/>
      <x:c r="I17" s="15"/>
      <x:c r="J17" s="15"/>
      <x:c r="K17" s="15"/>
      <x:c r="L17" s="20"/>
      <x:c r="M17" s="15"/>
      <x:c r="N17" s="20"/>
      <x:c r="O17" s="15"/>
      <x:c r="P17" s="48" t="str">
        <x:v>not_available_for_case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8641721d20044a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1" hidden="0" customWidth="1"/>
    <x:col min="4" max="4" width="19" hidden="0" customWidth="1"/>
    <x:col min="5" max="5" width="20" hidden="0" customWidth="1"/>
    <x:col min="6" max="6" width="23" hidden="0" customWidth="1"/>
    <x:col min="7" max="7" width="24" hidden="0" customWidth="1"/>
    <x:col min="8" max="8" width="31" hidden="0" customWidth="1"/>
  </x:cols>
  <x:sheetData>
    <x:row r="1" ht="23" customHeight="1">
      <x:c r="A1" s="3" t="str">
        <x:v>Case category composition</x:v>
      </x:c>
      <x:c r="B1" s="3"/>
      <x:c r="C1" s="3"/>
      <x:c r="D1" s="3"/>
      <x:c r="E1" s="3"/>
      <x:c r="F1" s="3"/>
      <x:c r="G1" s="3"/>
      <x:c r="H1" s="3"/>
    </x:row>
    <x:row r="2" ht="23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7" t="str">
        <x:v>This is an intentionally balanced diagnostic portfolio, not a representative estimate of model success frequency.</x:v>
      </x:c>
      <x:c r="B3" s="7"/>
      <x:c r="C3" s="7"/>
      <x:c r="D3" s="7"/>
      <x:c r="E3" s="7"/>
      <x:c r="F3" s="7"/>
      <x:c r="G3" s="7"/>
      <x:c r="H3" s="7"/>
    </x:row>
    <x:row r="5" ht="34" customHeight="1">
      <x:c r="A5" s="14" t="str">
        <x:v>Category Code</x:v>
      </x:c>
      <x:c r="B5" s="14" t="str">
        <x:v>Category</x:v>
      </x:c>
      <x:c r="C5" s="14" t="str">
        <x:v>Cases</x:v>
      </x:c>
      <x:c r="D5" s="14" t="str">
        <x:v>Opportunity Hits</x:v>
      </x:c>
      <x:c r="E5" s="14" t="str">
        <x:v>Performance Hits</x:v>
      </x:c>
      <x:c r="F5" s="14" t="str">
        <x:v>Mean Opportunity Lift</x:v>
      </x:c>
      <x:c r="G5" s="14" t="str">
        <x:v>Mean Performance Lift</x:v>
      </x:c>
      <x:c r="H5" s="14" t="str">
        <x:v>Mean Two-Target Error Improvement</x:v>
      </x:c>
    </x:row>
    <x:row r="6" ht="23" customHeight="1">
      <x:c r="A6" s="17" t="str">
        <x:v>confirmed_positive</x:v>
      </x:c>
      <x:c r="B6" s="50" t="str">
        <x:v>Confirmed positive fit</x:v>
      </x:c>
      <x:c r="C6" s="41" t="n">
        <x:f>COUNTIF('Case Portfolio'!$B$6:$B$17,B6)</x:f>
        <x:v>2</x:v>
      </x:c>
      <x:c r="D6" s="41" t="n">
        <x:f>COUNTIFS('Case Portfolio'!$B$6:$B$17,B6,'Case Portfolio'!$R$6:$R$17,"&gt;0")</x:f>
        <x:v>2</x:v>
      </x:c>
      <x:c r="E6" s="41" t="n">
        <x:f>COUNTIFS('Case Portfolio'!$B$6:$B$17,B6,'Case Portfolio'!$X$6:$X$17,"&gt;0")</x:f>
        <x:v>2</x:v>
      </x:c>
      <x:c r="F6" s="35" t="n">
        <x:f>AVERAGEIF('Case Portfolio'!$B$6:$B$17,B6,'Case Portfolio'!$P$6:$P$17)</x:f>
        <x:v>0.011966865650897274</x:v>
      </x:c>
      <x:c r="G6" s="35" t="n">
        <x:f>AVERAGEIF('Case Portfolio'!$B$6:$B$17,B6,'Case Portfolio'!$V$6:$V$17)</x:f>
        <x:v>0.04458038317171385</x:v>
      </x:c>
      <x:c r="H6" s="35" t="n">
        <x:f>(AVERAGEIF('Case Portfolio'!$B$6:$B$17,B6,'Case Portfolio'!$R$6:$R$17)+AVERAGEIF('Case Portfolio'!$B$6:$B$17,B6,'Case Portfolio'!$X$6:$X$17))/2</x:f>
        <x:v>0.02827362441130557</x:v>
      </x:c>
    </x:row>
    <x:row r="7" ht="23" customHeight="1">
      <x:c r="A7" s="15" t="str">
        <x:v>confirmed_warning</x:v>
      </x:c>
      <x:c r="B7" s="52" t="str">
        <x:v>Confirmed compatibility warning</x:v>
      </x:c>
      <x:c r="C7" s="42" t="n">
        <x:f>COUNTIF('Case Portfolio'!$B$6:$B$17,B7)</x:f>
        <x:v>3</x:v>
      </x:c>
      <x:c r="D7" s="42" t="n">
        <x:f>COUNTIFS('Case Portfolio'!$B$6:$B$17,B7,'Case Portfolio'!$R$6:$R$17,"&gt;0")</x:f>
        <x:v>3</x:v>
      </x:c>
      <x:c r="E7" s="42" t="n">
        <x:f>COUNTIFS('Case Portfolio'!$B$6:$B$17,B7,'Case Portfolio'!$X$6:$X$17,"&gt;0")</x:f>
        <x:v>3</x:v>
      </x:c>
      <x:c r="F7" s="36" t="n">
        <x:f>AVERAGEIF('Case Portfolio'!$B$6:$B$17,B7,'Case Portfolio'!$P$6:$P$17)</x:f>
        <x:v>-0.080728869998532</x:v>
      </x:c>
      <x:c r="G7" s="36" t="n">
        <x:f>AVERAGEIF('Case Portfolio'!$B$6:$B$17,B7,'Case Portfolio'!$V$6:$V$17)</x:f>
        <x:v>-0.11720642471378113</x:v>
      </x:c>
      <x:c r="H7" s="36" t="n">
        <x:f>(AVERAGEIF('Case Portfolio'!$B$6:$B$17,B7,'Case Portfolio'!$R$6:$R$17)+AVERAGEIF('Case Portfolio'!$B$6:$B$17,B7,'Case Portfolio'!$X$6:$X$17))/2</x:f>
        <x:v>0.09896764735615657</x:v>
      </x:c>
    </x:row>
    <x:row r="8" ht="23" customHeight="1">
      <x:c r="A8" s="17" t="str">
        <x:v>validated_tradeoff</x:v>
      </x:c>
      <x:c r="B8" s="54" t="str">
        <x:v>Validated target trade-off</x:v>
      </x:c>
      <x:c r="C8" s="41" t="n">
        <x:f>COUNTIF('Case Portfolio'!$B$6:$B$17,B8)</x:f>
        <x:v>2</x:v>
      </x:c>
      <x:c r="D8" s="41" t="n">
        <x:f>COUNTIFS('Case Portfolio'!$B$6:$B$17,B8,'Case Portfolio'!$R$6:$R$17,"&gt;0")</x:f>
        <x:v>2</x:v>
      </x:c>
      <x:c r="E8" s="41" t="n">
        <x:f>COUNTIFS('Case Portfolio'!$B$6:$B$17,B8,'Case Portfolio'!$X$6:$X$17,"&gt;0")</x:f>
        <x:v>2</x:v>
      </x:c>
      <x:c r="F8" s="35" t="n">
        <x:f>AVERAGEIF('Case Portfolio'!$B$6:$B$17,B8,'Case Portfolio'!$P$6:$P$17)</x:f>
        <x:v>-0.008130322791206485</x:v>
      </x:c>
      <x:c r="G8" s="35" t="n">
        <x:f>AVERAGEIF('Case Portfolio'!$B$6:$B$17,B8,'Case Portfolio'!$V$6:$V$17)</x:f>
        <x:v>0.0333809832662118</x:v>
      </x:c>
      <x:c r="H8" s="35" t="n">
        <x:f>(AVERAGEIF('Case Portfolio'!$B$6:$B$17,B8,'Case Portfolio'!$R$6:$R$17)+AVERAGEIF('Case Portfolio'!$B$6:$B$17,B8,'Case Portfolio'!$X$6:$X$17))/2</x:f>
        <x:v>0.08011360577905419</x:v>
      </x:c>
    </x:row>
    <x:row r="9" ht="23" customHeight="1">
      <x:c r="A9" s="15" t="str">
        <x:v>false_positive</x:v>
      </x:c>
      <x:c r="B9" s="56" t="str">
        <x:v>False-positive compatibility signal</x:v>
      </x:c>
      <x:c r="C9" s="42" t="n">
        <x:f>COUNTIF('Case Portfolio'!$B$6:$B$17,B9)</x:f>
        <x:v>2</x:v>
      </x:c>
      <x:c r="D9" s="42" t="n">
        <x:f>COUNTIFS('Case Portfolio'!$B$6:$B$17,B9,'Case Portfolio'!$R$6:$R$17,"&gt;0")</x:f>
        <x:v>0</x:v>
      </x:c>
      <x:c r="E9" s="42" t="n">
        <x:f>COUNTIFS('Case Portfolio'!$B$6:$B$17,B9,'Case Portfolio'!$X$6:$X$17,"&gt;0")</x:f>
        <x:v>0</x:v>
      </x:c>
      <x:c r="F9" s="36" t="n">
        <x:f>AVERAGEIF('Case Portfolio'!$B$6:$B$17,B9,'Case Portfolio'!$P$6:$P$17)</x:f>
        <x:v>0.07892966210681823</x:v>
      </x:c>
      <x:c r="G9" s="36" t="n">
        <x:f>AVERAGEIF('Case Portfolio'!$B$6:$B$17,B9,'Case Portfolio'!$V$6:$V$17)</x:f>
        <x:v>0.10356765198481455</x:v>
      </x:c>
      <x:c r="H9" s="36" t="n">
        <x:f>(AVERAGEIF('Case Portfolio'!$B$6:$B$17,B9,'Case Portfolio'!$R$6:$R$17)+AVERAGEIF('Case Portfolio'!$B$6:$B$17,B9,'Case Portfolio'!$X$6:$X$17))/2</x:f>
        <x:v>-0.07176563281084197</x:v>
      </x:c>
    </x:row>
    <x:row r="10" ht="23" customHeight="1">
      <x:c r="A10" s="17" t="str">
        <x:v>false_warning</x:v>
      </x:c>
      <x:c r="B10" s="56" t="str">
        <x:v>False-negative compatibility warning</x:v>
      </x:c>
      <x:c r="C10" s="41" t="n">
        <x:f>COUNTIF('Case Portfolio'!$B$6:$B$17,B10)</x:f>
        <x:v>3</x:v>
      </x:c>
      <x:c r="D10" s="41" t="n">
        <x:f>COUNTIFS('Case Portfolio'!$B$6:$B$17,B10,'Case Portfolio'!$R$6:$R$17,"&gt;0")</x:f>
        <x:v>0</x:v>
      </x:c>
      <x:c r="E10" s="41" t="n">
        <x:f>COUNTIFS('Case Portfolio'!$B$6:$B$17,B10,'Case Portfolio'!$X$6:$X$17,"&gt;0")</x:f>
        <x:v>0</x:v>
      </x:c>
      <x:c r="F10" s="35" t="n">
        <x:f>AVERAGEIF('Case Portfolio'!$B$6:$B$17,B10,'Case Portfolio'!$P$6:$P$17)</x:f>
        <x:v>-0.06181280877842873</x:v>
      </x:c>
      <x:c r="G10" s="35" t="n">
        <x:f>AVERAGEIF('Case Portfolio'!$B$6:$B$17,B10,'Case Portfolio'!$V$6:$V$17)</x:f>
        <x:v>-0.07843713252164075</x:v>
      </x:c>
      <x:c r="H10" s="35" t="n">
        <x:f>(AVERAGEIF('Case Portfolio'!$B$6:$B$17,B10,'Case Portfolio'!$R$6:$R$17)+AVERAGEIF('Case Portfolio'!$B$6:$B$17,B10,'Case Portfolio'!$X$6:$X$17))/2</x:f>
        <x:v>-0.06863913931899347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fca221a5d884a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1" hidden="0" customWidth="1"/>
    <x:col min="4" max="4" width="50" hidden="0" customWidth="1"/>
    <x:col min="5" max="5" width="45" hidden="0" customWidth="1"/>
    <x:col min="6" max="6" width="70" hidden="0" customWidth="1"/>
  </x:cols>
  <x:sheetData>
    <x:row r="1" ht="23" customHeight="1">
      <x:c r="A1" s="3" t="str">
        <x:v>Independent verification</x:v>
      </x:c>
      <x:c r="B1" s="3"/>
      <x:c r="C1" s="3"/>
      <x:c r="D1" s="3"/>
      <x:c r="E1" s="3"/>
      <x:c r="F1" s="3"/>
    </x:row>
    <x:row r="2" ht="23" customHeight="1">
      <x:c r="A2" s="3"/>
      <x:c r="B2" s="3"/>
      <x:c r="C2" s="3"/>
      <x:c r="D2" s="3"/>
      <x:c r="E2" s="3"/>
      <x:c r="F2" s="3"/>
    </x:row>
    <x:row r="3" ht="30" customHeight="1">
      <x:c r="A3" s="7" t="str">
        <x:v>A separate verifier reconstructed the cohort, deterministic selection, rolling predictions, transfer details, fit components, and timing.</x:v>
      </x:c>
      <x:c r="B3" s="7"/>
      <x:c r="C3" s="7"/>
      <x:c r="D3" s="7"/>
      <x:c r="E3" s="7"/>
      <x:c r="F3" s="7"/>
    </x:row>
    <x:row r="5" ht="34" customHeight="1">
      <x:c r="A5" s="14" t="str">
        <x:v>Check</x:v>
      </x:c>
      <x:c r="B5" s="14" t="str">
        <x:v>Severity</x:v>
      </x:c>
      <x:c r="C5" s="14" t="str">
        <x:v>Passed</x:v>
      </x:c>
      <x:c r="D5" s="14" t="str">
        <x:v>Observed</x:v>
      </x:c>
      <x:c r="E5" s="14" t="str">
        <x:v>Expected</x:v>
      </x:c>
      <x:c r="F5" s="14" t="str">
        <x:v>Detail</x:v>
      </x:c>
    </x:row>
    <x:row r="6" ht="37" customHeight="1">
      <x:c r="A6" s="19" t="str">
        <x:v>required_outputs_exist</x:v>
      </x:c>
      <x:c r="B6" s="17" t="str">
        <x:v>Blocking</x:v>
      </x:c>
      <x:c r="C6" s="46" t="b">
        <x:v>1</x:v>
      </x:c>
      <x:c r="D6" s="19" t="str">
        <x:v>all present</x:v>
      </x:c>
      <x:c r="E6" s="19" t="str">
        <x:v>all present</x:v>
      </x:c>
      <x:c r="F6" s="19" t="str">
        <x:v>Every declared case-study artifact exists.</x:v>
      </x:c>
    </x:row>
    <x:row r="7" ht="37" customHeight="1">
      <x:c r="A7" s="20" t="str">
        <x:v>build_checks_all_pass</x:v>
      </x:c>
      <x:c r="B7" s="15" t="str">
        <x:v>Blocking</x:v>
      </x:c>
      <x:c r="C7" s="46" t="b">
        <x:v>1</x:v>
      </x:c>
      <x:c r="D7" s="20" t="n">
        <x:v>0</x:v>
      </x:c>
      <x:c r="E7" s="20" t="n">
        <x:v>0</x:v>
      </x:c>
      <x:c r="F7" s="20" t="str">
        <x:v>All construction-time invariants passed.</x:v>
      </x:c>
    </x:row>
    <x:row r="8" ht="37" customHeight="1">
      <x:c r="A8" s="19" t="str">
        <x:v>source_manifest_hashes_match</x:v>
      </x:c>
      <x:c r="B8" s="17" t="str">
        <x:v>Blocking</x:v>
      </x:c>
      <x:c r="C8" s="46" t="b">
        <x:v>1</x:v>
      </x:c>
      <x:c r="D8" s="19" t="str">
        <x:v>all match</x:v>
      </x:c>
      <x:c r="E8" s="19" t="str">
        <x:v>all match</x:v>
      </x:c>
      <x:c r="F8" s="19" t="str">
        <x:v>Verification uses the exact recorded source artifacts.</x:v>
      </x:c>
    </x:row>
    <x:row r="9" ht="37" customHeight="1">
      <x:c r="A9" s="20" t="str">
        <x:v>dual_target_cohort_recomputed</x:v>
      </x:c>
      <x:c r="B9" s="15" t="str">
        <x:v>Blocking</x:v>
      </x:c>
      <x:c r="C9" s="46" t="b">
        <x:v>1</x:v>
      </x:c>
      <x:c r="D9" s="20" t="n">
        <x:v>124</x:v>
      </x:c>
      <x:c r="E9" s="20" t="n">
        <x:v>124</x:v>
      </x:c>
      <x:c r="F9" s="20" t="str">
        <x:v>The mature dual-target evaluation cohort independently reproduces.</x:v>
      </x:c>
    </x:row>
    <x:row r="10" ht="37" customHeight="1">
      <x:c r="A10" s="19" t="str">
        <x:v>deterministic_selection_recomputed</x:v>
      </x:c>
      <x:c r="B10" s="17" t="str">
        <x:v>Blocking</x:v>
      </x:c>
      <x:c r="C10" s="46" t="b">
        <x:v>1</x:v>
      </x:c>
      <x:c r="D10" s="19" t="str">
        <x:v>['pts:121477:379:GB1:2021', 'pts:181378:417:FR1:2022', 'pts:238752:1390:IT1:2021', 'pts:25488:380:IT1:2023', 'pts:284884:940:ES1:2022', 'pts:286779:2687:ES1:2023', 'pts:352392:667:FR1:2021', 'pts:456492:3:L1:2023', 'pts:623040:276:IT1:2022', 'pts:66100:131:ES1:2023', 'pts:80444:405:GB1:2022', 'pts:82503:367:ES1:2023']</x:v>
      </x:c>
      <x:c r="E10" s="19" t="str">
        <x:v>['pts:121477:379:GB1:2021', 'pts:181378:417:FR1:2022', 'pts:238752:1390:IT1:2021', 'pts:25488:380:IT1:2023', 'pts:284884:940:ES1:2022', 'pts:286779:2687:ES1:2023', 'pts:352392:667:FR1:2021', 'pts:456492:3:L1:2023', 'pts:623040:276:IT1:2022', 'pts:66100:131:ES1:2023', 'pts:80444:405:GB1:2022', 'pts:82503:367:ES1:2023']</x:v>
      </x:c>
      <x:c r="F10" s="19" t="str">
        <x:v>The twelve reported cases exactly match the predeclared category and role quotas.</x:v>
      </x:c>
    </x:row>
    <x:row r="11" ht="37" customHeight="1">
      <x:c r="A11" s="20" t="str">
        <x:v>case_category_counts_exact</x:v>
      </x:c>
      <x:c r="B11" s="15" t="str">
        <x:v>Blocking</x:v>
      </x:c>
      <x:c r="C11" s="46" t="b">
        <x:v>1</x:v>
      </x:c>
      <x:c r="D11" s="20" t="str">
        <x:v>{'confirmed_warning': 3, 'false_warning': 3, 'confirmed_positive': 2, 'validated_tradeoff': 2, 'false_positive': 2}</x:v>
      </x:c>
      <x:c r="E11" s="20" t="str">
        <x:v>{'confirmed_warning': 3, 'false_warning': 3, 'confirmed_positive': 2, 'validated_tradeoff': 2, 'false_positive': 2}</x:v>
      </x:c>
      <x:c r="F11" s="20" t="str">
        <x:v>Success, warning, trade-off, and failure representation is exact.</x:v>
      </x:c>
    </x:row>
    <x:row r="12" ht="37" customHeight="1">
      <x:c r="A12" s="19" t="str">
        <x:v>target_predictions_map_to_verified_pairs</x:v>
      </x:c>
      <x:c r="B12" s="17" t="str">
        <x:v>Blocking</x:v>
      </x:c>
      <x:c r="C12" s="46" t="b">
        <x:v>1</x:v>
      </x:c>
      <x:c r="D12" s="19" t="n">
        <x:v>24</x:v>
      </x:c>
      <x:c r="E12" s="19" t="str">
        <x:v>24 exact mappings</x:v>
      </x:c>
      <x:c r="F12" s="19" t="str">
        <x:v>Every case prediction maps exactly to the verified rolling-origin paired output.</x:v>
      </x:c>
    </x:row>
    <x:row r="13" ht="37" customHeight="1">
      <x:c r="A13" s="20" t="str">
        <x:v>transfer_details_map_to_targets</x:v>
      </x:c>
      <x:c r="B13" s="15" t="str">
        <x:v>Blocking</x:v>
      </x:c>
      <x:c r="C13" s="46" t="b">
        <x:v>1</x:v>
      </x:c>
      <x:c r="D13" s="20" t="str">
        <x:v>all match</x:v>
      </x:c>
      <x:c r="E13" s="20" t="str">
        <x:v>all match</x:v>
      </x:c>
      <x:c r="F13" s="20" t="str">
        <x:v>Names, clubs, dates, and transfer ids map to the canonical target table.</x:v>
      </x:c>
    </x:row>
    <x:row r="14" ht="37" customHeight="1">
      <x:c r="A14" s="19" t="str">
        <x:v>style_profiles_recomputed</x:v>
      </x:c>
      <x:c r="B14" s="17" t="str">
        <x:v>Blocking</x:v>
      </x:c>
      <x:c r="C14" s="46" t="b">
        <x:v>1</x:v>
      </x:c>
      <x:c r="D14" s="19" t="str">
        <x:v>96 exact rows</x:v>
      </x:c>
      <x:c r="E14" s="19" t="str">
        <x:v>96 exact rows</x:v>
      </x:c>
      <x:c r="F14" s="19" t="str">
        <x:v>Every player/team style value and gap maps to the strict feature matrix.</x:v>
      </x:c>
    </x:row>
    <x:row r="15" ht="37" customHeight="1">
      <x:c r="A15" s="20" t="str">
        <x:v>context_preference_profiles_recomputed</x:v>
      </x:c>
      <x:c r="B15" s="15" t="str">
        <x:v>Blocking</x:v>
      </x:c>
      <x:c r="C15" s="46" t="b">
        <x:v>1</x:v>
      </x:c>
      <x:c r="D15" s="20" t="str">
        <x:v>72 exact rows</x:v>
      </x:c>
      <x:c r="E15" s="20" t="str">
        <x:v>72 exact rows</x:v>
      </x:c>
      <x:c r="F15" s="20" t="str">
        <x:v>Every historical context, preferred level, slope, and distance maps to the strict feature matrix.</x:v>
      </x:c>
    </x:row>
    <x:row r="16" ht="37" customHeight="1">
      <x:c r="A16" s="19" t="str">
        <x:v>aggregate_fit_scores_recomputed</x:v>
      </x:c>
      <x:c r="B16" s="17" t="str">
        <x:v>Blocking</x:v>
      </x:c>
      <x:c r="C16" s="46" t="b">
        <x:v>1</x:v>
      </x:c>
      <x:c r="D16" s="19" t="str">
        <x:v>all match</x:v>
      </x:c>
      <x:c r="E16" s="19" t="str">
        <x:v>all match</x:v>
      </x:c>
      <x:c r="F16" s="19" t="str">
        <x:v>Familiarity and preference-fit scores independently reproduce from six component distances.</x:v>
      </x:c>
    </x:row>
    <x:row r="17" ht="37" customHeight="1">
      <x:c r="A17" s="20" t="str">
        <x:v>feature_timing_safe</x:v>
      </x:c>
      <x:c r="B17" s="15" t="str">
        <x:v>Blocking</x:v>
      </x:c>
      <x:c r="C17" s="46" t="b">
        <x:v>1</x:v>
      </x:c>
      <x:c r="D17" s="20" t="n">
        <x:v>0</x:v>
      </x:c>
      <x:c r="E17" s="20" t="n">
        <x:v>0</x:v>
      </x:c>
      <x:c r="F17" s="20" t="str">
        <x:v>Every case uses player, preference, and club-context seasons strictly before the outcome season.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9b69462c99041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95" hidden="0" customWidth="1"/>
    <x:col min="4" max="4" width="17" hidden="0" customWidth="1"/>
  </x:cols>
  <x:sheetData>
    <x:row r="1" ht="23" customHeight="1">
      <x:c r="A1" s="3" t="str">
        <x:v>Case-study methodology</x:v>
      </x:c>
      <x:c r="B1" s="3"/>
      <x:c r="C1" s="3"/>
      <x:c r="D1" s="3"/>
    </x:row>
    <x:row r="2" ht="23" customHeight="1">
      <x:c r="A2" s="3"/>
      <x:c r="B2" s="3"/>
      <x:c r="C2" s="3"/>
      <x:c r="D2" s="3"/>
    </x:row>
    <x:row r="3" ht="30" customHeight="1">
      <x:c r="A3" s="7" t="str">
        <x:v>Selection, target definitions, fit diagnostics, and interpretation boundaries.</x:v>
      </x:c>
      <x:c r="B3" s="7"/>
      <x:c r="C3" s="7"/>
      <x:c r="D3" s="7"/>
    </x:row>
    <x:row r="5" ht="34" customHeight="1">
      <x:c r="A5" s="14" t="str">
        <x:v>Section</x:v>
      </x:c>
      <x:c r="B5" s="14" t="str">
        <x:v>Item</x:v>
      </x:c>
      <x:c r="C5" s="14" t="str">
        <x:v>Definition</x:v>
      </x:c>
      <x:c r="D5" s="14" t="str">
        <x:v>Declared Value</x:v>
      </x:c>
    </x:row>
    <x:row r="6" ht="44" customHeight="1">
      <x:c r="A6" s="17" t="str">
        <x:v>Cohort</x:v>
      </x:c>
      <x:c r="B6" s="17" t="str">
        <x:v>Mature origins</x:v>
      </x:c>
      <x:c r="C6" s="19" t="str">
        <x:v>origin_2020 through origin_2022; 124 transfers have both opportunity and performance predictions.</x:v>
      </x:c>
      <x:c r="D6" s="41" t="n">
        <x:v>124</x:v>
      </x:c>
    </x:row>
    <x:row r="7" ht="44" customHeight="1">
      <x:c r="A7" s="15" t="str">
        <x:v>Reference</x:v>
      </x:c>
      <x:c r="B7" s="15" t="str">
        <x:v>Baseline</x:v>
      </x:c>
      <x:c r="C7" s="20" t="str">
        <x:v>Same model family using player-history baseline features, isolating destination-context information from learner choice.</x:v>
      </x:c>
      <x:c r="D7" s="42"/>
    </x:row>
    <x:row r="8" ht="44" customHeight="1">
      <x:c r="A8" s="17" t="str">
        <x:v>Candidate</x:v>
      </x:c>
      <x:c r="B8" s="17" t="str">
        <x:v>Opportunity</x:v>
      </x:c>
      <x:c r="C8" s="19" t="str">
        <x:v>Full explicit fit plus elastic net, frozen before case selection.</x:v>
      </x:c>
      <x:c r="D8" s="41"/>
    </x:row>
    <x:row r="9" ht="44" customHeight="1">
      <x:c r="A9" s="15" t="str">
        <x:v>Candidate</x:v>
      </x:c>
      <x:c r="B9" s="15" t="str">
        <x:v>Performance</x:v>
      </x:c>
      <x:c r="C9" s="20" t="str">
        <x:v>Full explicit fit plus gradient-boosted trees, frozen before case selection.</x:v>
      </x:c>
      <x:c r="D9" s="42"/>
    </x:row>
    <x:row r="10" ht="44" customHeight="1">
      <x:c r="A10" s="17" t="str">
        <x:v>Target</x:v>
      </x:c>
      <x:c r="B10" s="17" t="str">
        <x:v>Opportunity</x:v>
      </x:c>
      <x:c r="C10" s="19" t="str">
        <x:v>Destination league minutes divided by club-season available player minutes; unit is share from 0 to 1.</x:v>
      </x:c>
      <x:c r="D10" s="41"/>
    </x:row>
    <x:row r="11" ht="44" customHeight="1">
      <x:c r="A11" s="15" t="str">
        <x:v>Target</x:v>
      </x:c>
      <x:c r="B11" s="15" t="str">
        <x:v>Performance</x:v>
      </x:c>
      <x:c r="C11" s="20" t="str">
        <x:v>Destination-season role-performance index standardized within season and role.</x:v>
      </x:c>
      <x:c r="D11" s="42"/>
    </x:row>
    <x:row r="12" ht="44" customHeight="1">
      <x:c r="A12" s="17" t="str">
        <x:v>Calculation</x:v>
      </x:c>
      <x:c r="B12" s="17" t="str">
        <x:v>Compatibility lift</x:v>
      </x:c>
      <x:c r="C12" s="19" t="str">
        <x:v>Compatibility forecast minus same-family player-history forecast. Positive raises the forecast; negative lowers it.</x:v>
      </x:c>
      <x:c r="D12" s="41"/>
    </x:row>
    <x:row r="13" ht="44" customHeight="1">
      <x:c r="A13" s="15" t="str">
        <x:v>Calculation</x:v>
      </x:c>
      <x:c r="B13" s="15" t="str">
        <x:v>Error improvement</x:v>
      </x:c>
      <x:c r="C13" s="20" t="str">
        <x:v>Baseline absolute error minus compatibility absolute error. Positive means compatibility was more accurate.</x:v>
      </x:c>
      <x:c r="D13" s="42"/>
    </x:row>
    <x:row r="14" ht="44" customHeight="1">
      <x:c r="A14" s="17" t="str">
        <x:v>Selection</x:v>
      </x:c>
      <x:c r="B14" s="17" t="str">
        <x:v>Confirmed positive</x:v>
      </x:c>
      <x:c r="C14" s="19" t="str">
        <x:v>Both forecasts rise and both become more accurate; all qualifying cases retained, capped at two.</x:v>
      </x:c>
      <x:c r="D14" s="41" t="n">
        <x:v>2</x:v>
      </x:c>
    </x:row>
    <x:row r="15" ht="44" customHeight="1">
      <x:c r="A15" s="15" t="str">
        <x:v>Selection</x:v>
      </x:c>
      <x:c r="B15" s="15" t="str">
        <x:v>Confirmed warning</x:v>
      </x:c>
      <x:c r="C15" s="20" t="str">
        <x:v>Both forecasts fall and both become more accurate; highest mean improvement retained per role.</x:v>
      </x:c>
      <x:c r="D15" s="42" t="n">
        <x:v>3</x:v>
      </x:c>
    </x:row>
    <x:row r="16" ht="44" customHeight="1">
      <x:c r="A16" s="17" t="str">
        <x:v>Selection</x:v>
      </x:c>
      <x:c r="B16" s="17" t="str">
        <x:v>Validated trade-off</x:v>
      </x:c>
      <x:c r="C16" s="19" t="str">
        <x:v>Opportunity and performance move in opposite directions and both improve; best case retained for each sign pattern.</x:v>
      </x:c>
      <x:c r="D16" s="41" t="n">
        <x:v>2</x:v>
      </x:c>
    </x:row>
    <x:row r="17" ht="44" customHeight="1">
      <x:c r="A17" s="15" t="str">
        <x:v>Selection</x:v>
      </x:c>
      <x:c r="B17" s="15" t="str">
        <x:v>False positive</x:v>
      </x:c>
      <x:c r="C17" s="20" t="str">
        <x:v>Both forecasts rise and both worsen; largest mean accuracy loss retained per available role, capped at two.</x:v>
      </x:c>
      <x:c r="D17" s="42" t="n">
        <x:v>2</x:v>
      </x:c>
    </x:row>
    <x:row r="18" ht="44" customHeight="1">
      <x:c r="A18" s="17" t="str">
        <x:v>Selection</x:v>
      </x:c>
      <x:c r="B18" s="17" t="str">
        <x:v>False warning</x:v>
      </x:c>
      <x:c r="C18" s="19" t="str">
        <x:v>Both forecasts fall and both worsen; largest mean accuracy loss retained per role.</x:v>
      </x:c>
      <x:c r="D18" s="41" t="n">
        <x:v>3</x:v>
      </x:c>
    </x:row>
    <x:row r="19" ht="44" customHeight="1">
      <x:c r="A19" s="15" t="str">
        <x:v>Fit</x:v>
      </x:c>
      <x:c r="B19" s="15" t="str">
        <x:v>Style profile</x:v>
      </x:c>
      <x:c r="C19" s="20" t="str">
        <x:v>Pre-move rolling-three player style versus destination prior-team style across eight standardized dimensions.</x:v>
      </x:c>
      <x:c r="D19" s="42" t="n">
        <x:v>8</x:v>
      </x:c>
    </x:row>
    <x:row r="20" ht="44" customHeight="1">
      <x:c r="A20" s="17" t="str">
        <x:v>Fit</x:v>
      </x:c>
      <x:c r="B20" s="17" t="str">
        <x:v>Historical preference</x:v>
      </x:c>
      <x:c r="C20" s="19" t="str">
        <x:v>Six prior teammate-context axes with shrunk performance slopes, familiarity distance, and preferred-level distance.</x:v>
      </x:c>
      <x:c r="D20" s="41" t="n">
        <x:v>6</x:v>
      </x:c>
    </x:row>
    <x:row r="21" ht="44" customHeight="1">
      <x:c r="A21" s="15" t="str">
        <x:v>Boundary</x:v>
      </x:c>
      <x:c r="B21" s="15" t="str">
        <x:v>Attribution</x:v>
      </x:c>
      <x:c r="C21" s="20" t="str">
        <x:v>Fit diagnostics are descriptive and are not SHAP values, causal effects, or exact individual model contributions.</x:v>
      </x:c>
      <x:c r="D21" s="42"/>
    </x:row>
    <x:row r="22" ht="44" customHeight="1">
      <x:c r="A22" s="17" t="str">
        <x:v>Boundary</x:v>
      </x:c>
      <x:c r="B22" s="17" t="str">
        <x:v>StatsBomb</x:v>
      </x:c>
      <x:c r="C22" s="19" t="str">
        <x:v>Selected-match samples and manual-review identities are supplementary only and never drive case selection.</x:v>
      </x:c>
      <x:c r="D22" s="41" t="n">
        <x:v>3</x:v>
      </x:c>
    </x:row>
    <x:row r="23" ht="44" customHeight="1">
      <x:c r="A23" s="15" t="str">
        <x:v>Next phase</x:v>
      </x:c>
      <x:c r="B23" s="15" t="str">
        <x:v>Prospective simulation</x:v>
      </x:c>
      <x:c r="C23" s="20" t="str">
        <x:v>Use the frozen models to compare one player against multiple plausible destination clubs while holding the player history fixed.</x:v>
      </x:c>
      <x:c r="D23" s="42"/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76ab679edb7f4a9e"/>
  </x:tableParts>
</x:worksheet>
</file>