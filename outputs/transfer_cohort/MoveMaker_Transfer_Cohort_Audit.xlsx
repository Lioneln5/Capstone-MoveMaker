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7022baaf5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hort Summary" sheetId="1" r:id="R48cb5b68507c41e4"/>
    <x:sheet xmlns:r="http://schemas.openxmlformats.org/officeDocument/2006/relationships" name="Assumptions" sheetId="2" r:id="R3d712c96c1ab430e"/>
    <x:sheet xmlns:r="http://schemas.openxmlformats.org/officeDocument/2006/relationships" name="Retention Funnels" sheetId="3" r:id="R73395d91fc4d46ef"/>
    <x:sheet xmlns:r="http://schemas.openxmlformats.org/officeDocument/2006/relationships" name="Eligibility Summary" sheetId="4" r:id="Rede768b5365645b9"/>
    <x:sheet xmlns:r="http://schemas.openxmlformats.org/officeDocument/2006/relationships" name="By Season" sheetId="5" r:id="R00b42b292a434b29"/>
    <x:sheet xmlns:r="http://schemas.openxmlformats.org/officeDocument/2006/relationships" name="Exclusion Reasons" sheetId="6" r:id="R3b293957dacd4918"/>
    <x:sheet xmlns:r="http://schemas.openxmlformats.org/officeDocument/2006/relationships" name="Valuation Sensitivity" sheetId="7" r:id="R27f8ab31aa364aca"/>
    <x:sheet xmlns:r="http://schemas.openxmlformats.org/officeDocument/2006/relationships" name="Crosswalk Summary" sheetId="8" r:id="Ra3fd7773767345ae"/>
    <x:sheet xmlns:r="http://schemas.openxmlformats.org/officeDocument/2006/relationships" name="Checks" sheetId="9" r:id="Rcf77734725bc4ed5"/>
    <x:sheet xmlns:r="http://schemas.openxmlformats.org/officeDocument/2006/relationships" name="Cohort Fields" sheetId="10" r:id="R1337501bbc8743cc"/>
    <x:sheet xmlns:r="http://schemas.openxmlformats.org/officeDocument/2006/relationships" name="Cohort Sample" sheetId="11" r:id="Rea34a448c709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0.0%"/>
    <x:numFmt numFmtId="203" formatCode="€#,##0;[Red](€#,##0);-"/>
    <x:numFmt numFmtId="204" formatCode="0.0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24D"/>
      <x:name val="Carlito"/>
    </x:font>
    <x:font>
      <x:b/>
      <x:sz val="10"/>
      <x:color rgb="FFFFFFFF"/>
      <x:name val="Carlito"/>
    </x:font>
    <x:font>
      <x:sz val="9"/>
      <x:color rgb="FF263238"/>
      <x:name val="Carlito"/>
    </x:font>
    <x:font>
      <x:sz val="9"/>
      <x:color rgb="FF0000FF"/>
      <x:name val="Carlito"/>
    </x:font>
    <x:font>
      <x:b/>
      <x:sz val="20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8"/>
      <x:color rgb="FF000000"/>
      <x:name val="Carlito"/>
    </x:font>
    <x:font>
      <x:b/>
      <x:sz val="13"/>
      <x:color rgb="FFFFFFFF"/>
      <x:name val="Carlito"/>
    </x:font>
    <x:font>
      <x:b/>
      <x:sz val="11"/>
      <x:color rgb="FF17324D"/>
      <x:name val="Carlito"/>
    </x:font>
    <x:font>
      <x:b/>
      <x:sz val="16"/>
      <x:color rgb="FF000000"/>
      <x:name val="Carlito"/>
    </x:font>
    <x:font>
      <x:sz val="11"/>
      <x:color rgb="FF8A4B08"/>
      <x:name val="Carlito"/>
    </x:font>
    <x:font>
      <x:i/>
      <x:sz val="11"/>
      <x:color rgb="FF66708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286C8E"/>
      </x:patternFill>
    </x:fill>
    <x:fill>
      <x:patternFill patternType="solid">
        <x:fgColor rgb="FFFFF3D6"/>
      </x:patternFill>
    </x:fill>
    <x:fill>
      <x:patternFill patternType="solid">
        <x:fgColor rgb="FFE8F5F2"/>
      </x:patternFill>
    </x:fill>
    <x:fill>
      <x:patternFill patternType="solid">
        <x:fgColor rgb="FF2A9D8F"/>
      </x:patternFill>
    </x:fill>
    <x:fill>
      <x:patternFill patternType="solid">
        <x:fgColor rgb="FFFCE8E6"/>
      </x:patternFill>
    </x:fill>
    <x:fill>
      <x:patternFill patternType="solid">
        <x:fgColor rgb="FFFFFFFF"/>
      </x:patternFill>
    </x:fill>
    <x:fill>
      <x:patternFill patternType="solid">
        <x:fgColor rgb="FFF4F6F8"/>
      </x:patternFill>
    </x:fill>
  </x:fills>
  <x:borders count="17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  <x:border>
      <x:left style="thin">
        <x:color rgb="FF2A9D8F"/>
      </x:left>
      <x:top style="thin">
        <x:color rgb="FF2A9D8F"/>
      </x:top>
    </x:border>
    <x:border>
      <x:top style="thin">
        <x:color rgb="FF2A9D8F"/>
      </x:top>
    </x:border>
    <x:border>
      <x:right style="thin">
        <x:color rgb="FF2A9D8F"/>
      </x:right>
      <x:top style="thin">
        <x:color rgb="FF2A9D8F"/>
      </x:top>
    </x:border>
    <x:border>
      <x:left style="thin">
        <x:color rgb="FF2A9D8F"/>
      </x:left>
    </x:border>
    <x:border>
      <x:right style="thin">
        <x:color rgb="FF2A9D8F"/>
      </x:right>
    </x:border>
    <x:border>
      <x:left style="thin">
        <x:color rgb="FF2A9D8F"/>
      </x:left>
      <x:bottom style="thin">
        <x:color rgb="FF2A9D8F"/>
      </x:bottom>
    </x:border>
    <x:border>
      <x:bottom style="thin">
        <x:color rgb="FF2A9D8F"/>
      </x:bottom>
    </x:border>
    <x:border>
      <x:right style="thin">
        <x:color rgb="FF2A9D8F"/>
      </x:right>
      <x:bottom style="thin">
        <x:color rgb="FF2A9D8F"/>
      </x:bottom>
    </x:border>
    <x:border>
      <x:left style="thin">
        <x:color rgb="FFE5B94B"/>
      </x:left>
      <x:right style="thin">
        <x:color rgb="FFE5B94B"/>
      </x:right>
      <x:top style="thin">
        <x:color rgb="FFE5B94B"/>
      </x:top>
      <x:bottom style="thin">
        <x:color rgb="FFE5B94B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4" fillId="0" borderId="4" xfId="0" applyNumberFormat="1" applyFont="1" applyFill="1" applyBorder="1" applyAlignment="1">
      <x:alignment vertical="top" wrapText="1"/>
    </x:xf>
    <x:xf numFmtId="204" fontId="4" fillId="0" borderId="5" xfId="0" applyNumberFormat="1" applyFont="1" applyFill="1" applyBorder="1" applyAlignment="1">
      <x:alignment vertical="top" wrapText="1"/>
    </x:xf>
    <x:xf numFmtId="204" fontId="4" fillId="0" borderId="6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7" borderId="7" xfId="0" applyNumberFormat="1" applyFont="1" applyFill="1" applyBorder="1"/>
    <x:xf numFmtId="0" fontId="8" fillId="7" borderId="7" xfId="0" applyNumberFormat="1" applyFont="1" applyFill="1" applyBorder="1"/>
    <x:xf numFmtId="0" fontId="8" fillId="7" borderId="7" xfId="0" applyNumberFormat="1" applyFont="1" applyFill="1" applyBorder="1" applyAlignment="1">
      <x:alignment horizontal="center"/>
    </x:xf>
    <x:xf numFmtId="0" fontId="9" fillId="6" borderId="10" xfId="0" applyNumberFormat="1" applyFont="1" applyFill="1" applyBorder="1"/>
    <x:xf numFmtId="201" fontId="9" fillId="6" borderId="10" xfId="0" applyNumberFormat="1" applyFont="1" applyFill="1" applyBorder="1"/>
    <x:xf numFmtId="201" fontId="9" fillId="6" borderId="10" xfId="0" applyNumberFormat="1" applyFont="1" applyFill="1" applyBorder="1" applyAlignment="1">
      <x:alignment horizontal="center"/>
    </x:xf>
    <x:xf numFmtId="201" fontId="9" fillId="6" borderId="10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vertical="center" wrapText="1"/>
    </x:xf>
    <x:xf numFmtId="0" fontId="12" fillId="6" borderId="10" xfId="0" applyNumberFormat="1" applyFont="1" applyFill="1" applyBorder="1"/>
    <x:xf numFmtId="0" fontId="12" fillId="6" borderId="10" xfId="0" applyNumberFormat="1" applyFont="1" applyFill="1" applyBorder="1" applyAlignment="1">
      <x:alignment horizontal="center"/>
    </x:xf>
    <x:xf numFmtId="0" fontId="12" fillId="6" borderId="10" xfId="0" applyNumberFormat="1" applyFont="1" applyFill="1" applyBorder="1" applyAlignment="1">
      <x:alignment horizontal="center" vertical="center"/>
    </x:xf>
    <x:xf numFmtId="0" fontId="13" fillId="5" borderId="0" xfId="0" applyNumberFormat="1" applyFont="1" applyFill="1" applyBorder="1"/>
    <x:xf numFmtId="0" fontId="13" fillId="5" borderId="15" xfId="0" applyNumberFormat="1" applyFont="1" applyFill="1" applyBorder="1"/>
    <x:xf numFmtId="0" fontId="13" fillId="5" borderId="15" xfId="0" applyNumberFormat="1" applyFont="1" applyFill="1" applyBorder="1" applyAlignment="1">
      <x:alignment wrapText="1"/>
    </x:xf>
    <x:xf numFmtId="0" fontId="13" fillId="5" borderId="15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/>
    <x:xf numFmtId="0" fontId="14" fillId="10" borderId="16" xfId="0" applyNumberFormat="1" applyFont="1" applyFill="1" applyBorder="1"/>
    <x:xf numFmtId="0" fontId="14" fillId="10" borderId="16" xfId="0" applyNumberFormat="1" applyFont="1" applyFill="1" applyBorder="1" applyAlignment="1">
      <x:alignment wrapText="1"/>
    </x:xf>
    <x:xf numFmtId="0" fontId="14" fillId="10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067647"/>
      </x:font>
      <x:fill>
        <x:patternFill patternType="solid">
          <x:bgColor rgb="FFE8F5F2"/>
        </x:patternFill>
      </x:fill>
    </x:dxf>
    <x:dxf>
      <x:font>
        <x:b/>
        <x:color rgb="FF8A4B08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067647"/>
      </x:font>
      <x:fill>
        <x:patternFill patternType="solid">
          <x:bgColor rgb="FFE8F5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0fbd03ee44b9e" /><Relationship Type="http://schemas.openxmlformats.org/officeDocument/2006/relationships/theme" Target="/xl/theme/theme1.xml" Id="R0cde1bf4c07948e9" /><Relationship Type="http://schemas.microsoft.com/office/2022/11/relationships/FeaturePropertyBag" Target="/xl/featurePropertyBag/featurePropertyBag.xml" Id="R932e33b35fdd445d" /><Relationship Type="http://schemas.openxmlformats.org/officeDocument/2006/relationships/sharedStrings" Target="/xl/sharedStrings.xml" Id="R5ca6319519114253" /><Relationship Type="http://schemas.openxmlformats.org/officeDocument/2006/relationships/worksheet" Target="/xl/worksheets/sheet1.xml" Id="R48cb5b68507c41e4" /><Relationship Type="http://schemas.openxmlformats.org/officeDocument/2006/relationships/worksheet" Target="/xl/worksheets/sheet2.xml" Id="R3d712c96c1ab430e" /><Relationship Type="http://schemas.openxmlformats.org/officeDocument/2006/relationships/worksheet" Target="/xl/worksheets/sheet3.xml" Id="R73395d91fc4d46ef" /><Relationship Type="http://schemas.openxmlformats.org/officeDocument/2006/relationships/worksheet" Target="/xl/worksheets/sheet4.xml" Id="Rede768b5365645b9" /><Relationship Type="http://schemas.openxmlformats.org/officeDocument/2006/relationships/worksheet" Target="/xl/worksheets/sheet5.xml" Id="R00b42b292a434b29" /><Relationship Type="http://schemas.openxmlformats.org/officeDocument/2006/relationships/worksheet" Target="/xl/worksheets/sheet6.xml" Id="R3b293957dacd4918" /><Relationship Type="http://schemas.openxmlformats.org/officeDocument/2006/relationships/worksheet" Target="/xl/worksheets/sheet7.xml" Id="R27f8ab31aa364aca" /><Relationship Type="http://schemas.openxmlformats.org/officeDocument/2006/relationships/worksheet" Target="/xl/worksheets/sheet8.xml" Id="Ra3fd7773767345ae" /><Relationship Type="http://schemas.openxmlformats.org/officeDocument/2006/relationships/worksheet" Target="/xl/worksheets/sheet9.xml" Id="Rcf77734725bc4ed5" /><Relationship Type="http://schemas.openxmlformats.org/officeDocument/2006/relationships/worksheet" Target="/xl/worksheets/sheet10.xml" Id="R1337501bbc8743cc" /><Relationship Type="http://schemas.openxmlformats.org/officeDocument/2006/relationships/worksheet" Target="/xl/worksheets/sheet11.xml" Id="Rea34a448c7094c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db60124e6d43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Usable 24-month samples remain separate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'Cohort Summary'!$P$4:$P$6</c:f>
              <c:strCache>
                <c:ptCount val="0"/>
              </c:strCache>
            </c:strRef>
          </c:cat>
          <c:val>
            <c:numRef>
              <c:f>'Cohort Summary'!$Q$4:$Q$6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31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db60124e6d43d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hortAssumptions" displayName="CohortAssumptions" ref="A4:C14" headerRowCount="1" totalsRowCount="0" totalsRowShown="0">
  <x:autoFilter ref="A4:C14"/>
  <x:tableColumns count="3">
    <x:tableColumn id="1" name="Assumption"/>
    <x:tableColumn id="2" name="Value"/>
    <x:tableColumn id="3" name="Rationa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tentionFunnels" displayName="RetentionFunnels" ref="A4:I17" headerRowCount="1" totalsRowCount="0" totalsRowShown="0">
  <x:autoFilter ref="A4:I17"/>
  <x:tableColumns count="9">
    <x:tableColumn id="1" name="Funnel"/>
    <x:tableColumn id="2" name="Step"/>
    <x:tableColumn id="3" name="Stage"/>
    <x:tableColumn id="4" name="Records"/>
    <x:tableColumn id="5" name="Previous Stage"/>
    <x:tableColumn id="6" name="Retention vs Previous"/>
    <x:tableColumn id="7" name="Starting Records"/>
    <x:tableColumn id="8" name="Retention vs Start"/>
    <x:tableColumn id="9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gibilitySummary" displayName="EligibilitySummary" ref="A4:C17" headerRowCount="1" totalsRowCount="0" totalsRowShown="0">
  <x:autoFilter ref="A4:C17"/>
  <x:tableColumns count="3">
    <x:tableColumn id="1" name="Eligibility Flag"/>
    <x:tableColumn id="2" name="Records"/>
    <x:tableColumn id="3" name="% of Cohor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hortBySeason" displayName="CohortBySeason" ref="A4:I10" headerRowCount="1" totalsRowCount="0" totalsRowShown="0">
  <x:autoFilter ref="A4:I10"/>
  <x:tableColumns count="9">
    <x:tableColumn id="1" name="Season"/>
    <x:tableColumn id="2" name="Transfers"/>
    <x:tableColumn id="3" name="Unique Players"/>
    <x:tableColumn id="4" name="Prior-season Features"/>
    <x:tableColumn id="5" name="Positive Fees"/>
    <x:tableColumn id="6" name="Sporting 24m"/>
    <x:tableColumn id="7" name="Financial 24m (Prov.)"/>
    <x:tableColumn id="8" name="Combined 24m (Prov.)"/>
    <x:tableColumn id="9" name="Median Positive Fee (EUR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sionReasons" displayName="ExclusionReasons" ref="A4:C10" headerRowCount="1" totalsRowCount="0" totalsRowShown="0">
  <x:autoFilter ref="A4:C10"/>
  <x:tableColumns count="3">
    <x:tableColumn id="1" name="Exclusion Reason"/>
    <x:tableColumn id="2" name="Records"/>
    <x:tableColumn id="3" name="% of Cohor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aluationSensitivity" displayName="ValuationSensitivity" ref="A4:D12" headerRowCount="1" totalsRowCount="0" totalsRowShown="0">
  <x:autoFilter ref="A4:D12"/>
  <x:tableColumns count="4">
    <x:tableColumn id="1" name="Horizon (Months)"/>
    <x:tableColumn id="2" name="Tolerance (+/- Days)"/>
    <x:tableColumn id="3" name="Eligible Records"/>
    <x:tableColumn id="4" name="% of Positive-fee Pre-valued Bas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rosswalkSummary" displayName="CrosswalkSummary" ref="A4:E7" headerRowCount="1" totalsRowCount="0" totalsRowShown="0">
  <x:autoFilter ref="A4:E7"/>
  <x:tableColumns count="5">
    <x:tableColumn id="1" name="Match Status"/>
    <x:tableColumn id="2" name="Seasonal Identities"/>
    <x:tableColumn id="3" name="Seasonal Rows"/>
    <x:tableColumn id="4" name="% of Identities"/>
    <x:tableColumn id="5" name="% of Row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hortChecks" displayName="CohortChecks" ref="A4:E15" headerRowCount="1" totalsRowCount="0" totalsRowShown="0">
  <x:autoFilter ref="A4:E15"/>
  <x:tableColumns count="5">
    <x:tableColumn id="1" name="Check"/>
    <x:tableColumn id="2" name="Actual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hortFieldDictionary" displayName="CohortFieldDictionary" ref="A4:J153" headerRowCount="1" totalsRowCount="0" totalsRowShown="0">
  <x:autoFilter ref="A4:J153"/>
  <x:tableColumns count="10">
    <x:tableColumn id="1" name="#"/>
    <x:tableColumn id="2" name="Field"/>
    <x:tableColumn id="3" name="Group"/>
    <x:tableColumn id="4" name="Data Type"/>
    <x:tableColumn id="5" name="Definition"/>
    <x:tableColumn id="6" name="Modeling Usage"/>
    <x:tableColumn id="7" name="Timing Rule"/>
    <x:tableColumn id="8" name="Non-null"/>
    <x:tableColumn id="9" name="Missing %"/>
    <x:tableColumn id="10" name="Sample Valu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hortSample" displayName="CohortSample" ref="A4:T104" headerRowCount="1" totalsRowCount="0" totalsRowShown="0">
  <x:autoFilter ref="A4:T104"/>
  <x:tableColumns count="20">
    <x:tableColumn id="1" name="Transfer Event ID"/>
    <x:tableColumn id="2" name="Player"/>
    <x:tableColumn id="3" name="Transfer Date"/>
    <x:tableColumn id="4" name="Season"/>
    <x:tableColumn id="5" name="From Club"/>
    <x:tableColumn id="6" name="To Club"/>
    <x:tableColumn id="7" name="Fee (EUR)"/>
    <x:tableColumn id="8" name="Fee Status"/>
    <x:tableColumn id="9" name="Age"/>
    <x:tableColumn id="10" name="Prior Season"/>
    <x:tableColumn id="11" name="Prior Minutes"/>
    <x:tableColumn id="12" name="Pre Value (EUR)"/>
    <x:tableColumn id="13" name="24m Value (EUR)"/>
    <x:tableColumn id="14" name="24m Destination Minutes"/>
    <x:tableColumn id="15" name="Destination Games 24m"/>
    <x:tableColumn id="16" name="Sporting 24m"/>
    <x:tableColumn id="17" name="Financial 24m (Prov.)"/>
    <x:tableColumn id="18" name="Combined 24m (Prov.)"/>
    <x:tableColumn id="19" name="Tier"/>
    <x:tableColumn id="20" name="Exclusion Reas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64f8c589324c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4c3faeb5fc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bffb438ae44f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33374d615248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7074ddca734e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b3340c88c046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5a537ba52b47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9892120b5e4e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d718a4fb1a427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056fc6a909f4b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146ad79132b45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8" customHeight="1">
      <x:c r="A1" s="62" t="str">
        <x:v>MoveMaker Transfer Cohort</x:v>
      </x:c>
    </x:row>
    <x:row r="2">
      <x:c r="A2" s="64" t="str">
        <x:v>Cohort window 2018-07-01 to 2024-02-27 | Full 24-month valuation horizon | Generated 2026-08-03</x:v>
      </x:c>
    </x:row>
    <x:row r="3">
      <x:c r="P3" t="str">
        <x:v>Sample</x:v>
      </x:c>
      <x:c r="Q3" t="str">
        <x:v>Records</x:v>
      </x:c>
    </x:row>
    <x:row r="4">
      <x:c r="A4" s="76" t="str">
        <x:v>Candidate cohort</x:v>
      </x:c>
      <x:c r="B4" s="67"/>
      <x:c r="C4" s="68"/>
      <x:c r="E4" s="76" t="str">
        <x:v>Sporting 24m</x:v>
      </x:c>
      <x:c r="F4" s="67"/>
      <x:c r="G4" s="68"/>
      <x:c r="I4" s="76" t="str">
        <x:v>Financial 24m*</x:v>
      </x:c>
      <x:c r="J4" s="67"/>
      <x:c r="K4" s="68"/>
      <x:c r="M4" s="76" t="str">
        <x:v>Combined 24m*</x:v>
      </x:c>
      <x:c r="N4" s="68"/>
      <x:c r="P4" t="str">
        <x:v>Sporting 24m</x:v>
      </x:c>
      <x:c r="Q4" t="n">
        <x:f>'Eligibility Summary'!B14</x:f>
        <x:v>1314</x:v>
      </x:c>
    </x:row>
    <x:row r="5">
      <x:c r="A5" s="80" t="n">
        <x:f>SUM('By Season'!B5:B20)</x:f>
        <x:v>17060</x:v>
      </x:c>
      <x:c r="B5" s="65"/>
      <x:c r="C5" s="70"/>
      <x:c r="E5" s="80" t="n">
        <x:f>'Eligibility Summary'!B14</x:f>
        <x:v>1314</x:v>
      </x:c>
      <x:c r="F5" s="65"/>
      <x:c r="G5" s="70"/>
      <x:c r="I5" s="80" t="n">
        <x:f>'Eligibility Summary'!B16</x:f>
        <x:v>957</x:v>
      </x:c>
      <x:c r="J5" s="65"/>
      <x:c r="K5" s="70"/>
      <x:c r="M5" s="80" t="n">
        <x:f>'Eligibility Summary'!B17</x:f>
        <x:v>244</x:v>
      </x:c>
      <x:c r="N5" s="70"/>
      <x:c r="P5" t="str">
        <x:v>Financial 24m*</x:v>
      </x:c>
      <x:c r="Q5" t="n">
        <x:f>'Eligibility Summary'!B16</x:f>
        <x:v>957</x:v>
      </x:c>
    </x:row>
    <x:row r="6">
      <x:c r="A6" s="71"/>
      <x:c r="B6" s="72"/>
      <x:c r="C6" s="73"/>
      <x:c r="E6" s="71"/>
      <x:c r="F6" s="72"/>
      <x:c r="G6" s="73"/>
      <x:c r="I6" s="71"/>
      <x:c r="J6" s="72"/>
      <x:c r="K6" s="73"/>
      <x:c r="M6" s="71"/>
      <x:c r="N6" s="73"/>
      <x:c r="P6" t="str">
        <x:v>Combined 24m*</x:v>
      </x:c>
      <x:c r="Q6" t="n">
        <x:f>'Eligibility Summary'!B17</x:f>
        <x:v>244</x:v>
      </x:c>
    </x:row>
    <x:row r="8">
      <x:c r="A8" s="81" t="str">
        <x:v>Cohort interpretation</x:v>
      </x:c>
    </x:row>
    <x:row r="9" ht="38" customHeight="1">
      <x:c r="A9" s="84" t="str">
        <x:v>Foundation</x:v>
      </x:c>
      <x:c r="B9" s="83" t="str">
        <x:v>The dated master contains 17,060 transfers across 4,182 players and 8,299 unioned club/team IDs.</x:v>
      </x:c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</x:row>
    <x:row r="10" ht="38" customHeight="1">
      <x:c r="A10" s="84" t="str">
        <x:v>Sporting</x:v>
      </x:c>
      <x:c r="B10" s="83" t="str">
        <x:v>1,314 transfers have prior completed seasonal features plus adequate destination-game coverage at both 12 and 24 months.</x:v>
      </x:c>
      <x:c r="C10" s="83"/>
      <x:c r="D10" s="83"/>
      <x:c r="E10" s="83"/>
      <x:c r="F10" s="83"/>
      <x:c r="G10" s="83"/>
      <x:c r="H10" s="83"/>
      <x:c r="I10" s="83"/>
      <x:c r="J10" s="83"/>
      <x:c r="K10" s="83"/>
      <x:c r="L10" s="83"/>
      <x:c r="M10" s="83"/>
      <x:c r="N10" s="83"/>
    </x:row>
    <x:row r="11" ht="38" customHeight="1">
      <x:c r="A11" s="88" t="str">
        <x:v>Financial</x:v>
      </x:c>
      <x:c r="B11" s="87" t="str">
        <x:v>957 transfers have a positive recorded fee, a pre-transfer as-of valuation, and a 24-month valuation within +/-90 days.</x:v>
      </x:c>
      <x:c r="C11" s="87"/>
      <x:c r="D11" s="87"/>
      <x:c r="E11" s="87"/>
      <x:c r="F11" s="87"/>
      <x:c r="G11" s="87"/>
      <x:c r="H11" s="87"/>
      <x:c r="I11" s="87"/>
      <x:c r="J11" s="87"/>
      <x:c r="K11" s="87"/>
      <x:c r="L11" s="87"/>
      <x:c r="M11" s="87"/>
      <x:c r="N11" s="87"/>
    </x:row>
    <x:row r="12" ht="38" customHeight="1">
      <x:c r="A12" s="88" t="str">
        <x:v>Combined</x:v>
      </x:c>
      <x:c r="B12" s="87" t="str">
        <x:v>Only 244 transfers meet both strict 24-month definitions. This is useful for validation, but too small for a highly complex single combined model.</x:v>
      </x:c>
      <x:c r="C12" s="87"/>
      <x:c r="D12" s="87"/>
      <x:c r="E12" s="87"/>
      <x:c r="F12" s="87"/>
      <x:c r="G12" s="87"/>
      <x:c r="H12" s="87"/>
      <x:c r="I12" s="87"/>
      <x:c r="J12" s="87"/>
      <x:c r="K12" s="87"/>
      <x:c r="L12" s="87"/>
      <x:c r="M12" s="87"/>
      <x:c r="N12" s="87"/>
    </x:row>
    <x:row r="13" ht="38" customHeight="1">
      <x:c r="A13" s="92" t="str">
        <x:v>Caution</x:v>
      </x:c>
      <x:c r="B13" s="91" t="str">
        <x:v>Financial eligibility remains provisional because the source does not distinguish permanent purchases, loan fees, loan returns, and other zero/missing-fee movements.</x:v>
      </x:c>
      <x:c r="C13" s="91"/>
      <x:c r="D13" s="91"/>
      <x:c r="E13" s="91"/>
      <x:c r="F13" s="91"/>
      <x:c r="G13" s="91"/>
      <x:c r="H13" s="91"/>
      <x:c r="I13" s="91"/>
      <x:c r="J13" s="91"/>
      <x:c r="K13" s="91"/>
      <x:c r="L13" s="91"/>
      <x:c r="M13" s="91"/>
      <x:c r="N13" s="91"/>
    </x:row>
    <x:row r="14" ht="38" customHeight="1">
      <x:c r="A14" s="88" t="str">
        <x:v>Strategy</x:v>
      </x:c>
      <x:c r="B14" s="87" t="str">
        <x:v>Build sporting and financial models separately on their larger eligible samples, then combine calibrated outputs in the decision-intelligence layer.</x:v>
      </x:c>
      <x:c r="C14" s="87"/>
      <x:c r="D14" s="87"/>
      <x:c r="E14" s="87"/>
      <x:c r="F14" s="87"/>
      <x:c r="G14" s="87"/>
      <x:c r="H14" s="87"/>
      <x:c r="I14" s="87"/>
      <x:c r="J14" s="87"/>
      <x:c r="K14" s="87"/>
      <x:c r="L14" s="87"/>
      <x:c r="M14" s="87"/>
      <x:c r="N14" s="87"/>
    </x:row>
    <x:row r="17">
      <x:c r="A17" s="81" t="str">
        <x:v>Recommended modeling architecture</x:v>
      </x:c>
    </x:row>
    <x:row r="18" ht="36" customHeight="1">
      <x:c r="A18" s="94" t="str">
        <x:v>1</x:v>
      </x:c>
      <x:c r="B18" s="98" t="str">
        <x:v>Sporting model</x:v>
      </x:c>
      <x:c r="C18" s="97"/>
      <x:c r="D18" s="97"/>
      <x:c r="E18" s="97" t="str">
        <x:v>Train on the 1,314-record 24-month sporting cohort; evaluate simpler 12-month targets as a robustness check.</x:v>
      </x:c>
      <x:c r="F18" s="97"/>
      <x:c r="G18" s="97"/>
      <x:c r="H18" s="97"/>
      <x:c r="I18" s="97"/>
      <x:c r="J18" s="97"/>
      <x:c r="K18" s="97"/>
      <x:c r="L18" s="97"/>
      <x:c r="M18" s="97"/>
      <x:c r="N18" s="97"/>
    </x:row>
    <x:row r="19" ht="36" customHeight="1">
      <x:c r="A19" s="94" t="str">
        <x:v>2</x:v>
      </x:c>
      <x:c r="B19" s="102" t="str">
        <x:v>Financial model</x:v>
      </x:c>
      <x:c r="C19" s="101"/>
      <x:c r="D19" s="101"/>
      <x:c r="E19" s="101" t="str">
        <x:v>Train on the 957-record provisional financial cohort after manually resolving movement type and fee semantics.</x:v>
      </x:c>
      <x:c r="F19" s="101"/>
      <x:c r="G19" s="101"/>
      <x:c r="H19" s="101"/>
      <x:c r="I19" s="101"/>
      <x:c r="J19" s="101"/>
      <x:c r="K19" s="101"/>
      <x:c r="L19" s="101"/>
      <x:c r="M19" s="101"/>
      <x:c r="N19" s="101"/>
    </x:row>
    <x:row r="20" ht="36" customHeight="1">
      <x:c r="A20" s="94" t="str">
        <x:v>3</x:v>
      </x:c>
      <x:c r="B20" s="98" t="str">
        <x:v>Compatibility model</x:v>
      </x:c>
      <x:c r="C20" s="97"/>
      <x:c r="D20" s="97"/>
      <x:c r="E20" s="97" t="str">
        <x:v>Construct destination-club profiles from pre-transfer games and compare against the same sporting baseline sample.</x:v>
      </x:c>
      <x:c r="F20" s="97"/>
      <x:c r="G20" s="97"/>
      <x:c r="H20" s="97"/>
      <x:c r="I20" s="97"/>
      <x:c r="J20" s="97"/>
      <x:c r="K20" s="97"/>
      <x:c r="L20" s="97"/>
      <x:c r="M20" s="97"/>
      <x:c r="N20" s="97"/>
    </x:row>
    <x:row r="21" ht="36" customHeight="1">
      <x:c r="A21" s="94" t="str">
        <x:v>4</x:v>
      </x:c>
      <x:c r="B21" s="102" t="str">
        <x:v>Decision layer</x:v>
      </x:c>
      <x:c r="C21" s="101"/>
      <x:c r="D21" s="101"/>
      <x:c r="E21" s="101" t="str">
        <x:v>Combine calibrated sporting and financial predictions, compatibility, confidence, and risk flags; do not train only on the 244-record intersection.</x:v>
      </x:c>
      <x:c r="F21" s="101"/>
      <x:c r="G21" s="101"/>
      <x:c r="H21" s="101"/>
      <x:c r="I21" s="101"/>
      <x:c r="J21" s="101"/>
      <x:c r="K21" s="101"/>
      <x:c r="L21" s="101"/>
      <x:c r="M21" s="101"/>
      <x:c r="N21" s="101"/>
    </x:row>
    <x:row r="24">
      <x:c r="A24" s="81" t="str">
        <x:v>Release checks</x:v>
      </x:c>
    </x:row>
    <x:row r="25">
      <x:c r="A25" s="76" t="str">
        <x:v>Model status</x:v>
      </x:c>
      <x:c r="B25" s="67"/>
      <x:c r="C25" s="68"/>
      <x:c r="E25" s="109" t="str">
        <x:v>Warnings retained for review: 174 transfer-season labels disagree with their dated season, and 317 nonmissing ages fall outside 15-45. Transfer date remains authoritative; age outliers are not silently removed.</x:v>
      </x:c>
    </x:row>
    <x:row r="26">
      <x:c r="A26" s="105" t="str">
        <x:f>IF(COUNTIF('Checks'!D5:D15,"FAIL")=0,"PASS","FAIL")</x:f>
        <x:v>PASS</x:v>
      </x:c>
      <x:c r="B26" s="65"/>
      <x:c r="C26" s="70"/>
    </x:row>
    <x:row r="27">
      <x:c r="A27" s="71"/>
      <x:c r="B27" s="72"/>
      <x:c r="C27" s="73"/>
    </x:row>
    <x:row r="29">
      <x:c r="A29" s="113" t="str">
        <x:v>* Provisional: positive recorded fees can still include loan fees or other movement types. The valuation ROI field is a market-value proxy, not realized resale profit. Complete data: data/processed/transfer_cohort_master.csv.</x:v>
      </x:c>
    </x:row>
  </x:sheetData>
  <x:mergeCells>
    <x:mergeCell ref="A1:N1"/>
    <x:mergeCell ref="A2:N2"/>
    <x:mergeCell ref="A4:C4"/>
    <x:mergeCell ref="A5:C6"/>
    <x:mergeCell ref="E4:G4"/>
    <x:mergeCell ref="E5:G6"/>
    <x:mergeCell ref="I4:K4"/>
    <x:mergeCell ref="I5:K6"/>
    <x:mergeCell ref="M4:N4"/>
    <x:mergeCell ref="M5:N6"/>
    <x:mergeCell ref="A8:N8"/>
    <x:mergeCell ref="B9:N9"/>
    <x:mergeCell ref="B10:N10"/>
    <x:mergeCell ref="B11:N11"/>
    <x:mergeCell ref="B12:N12"/>
    <x:mergeCell ref="B13:N13"/>
    <x:mergeCell ref="B14:N14"/>
    <x:mergeCell ref="A17:N17"/>
    <x:mergeCell ref="B18:D18"/>
    <x:mergeCell ref="E18:N18"/>
    <x:mergeCell ref="B19:D19"/>
    <x:mergeCell ref="E19:N19"/>
    <x:mergeCell ref="B20:D20"/>
    <x:mergeCell ref="E20:N20"/>
    <x:mergeCell ref="B21:D21"/>
    <x:mergeCell ref="E21:N21"/>
    <x:mergeCell ref="A24:N24"/>
    <x:mergeCell ref="A25:C25"/>
    <x:mergeCell ref="A26:C27"/>
    <x:mergeCell ref="E25:N27"/>
    <x:mergeCell ref="A29:N30"/>
  </x:mergeCells>
  <x:pageMargins left="0.7" right="0.7" top="0.75" bottom="0.75" header="0.3" footer="0.3"/>
  <x:drawing xmlns:r="http://schemas.openxmlformats.org/officeDocument/2006/relationships" r:id="R9464f8c589324c5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35" hidden="0" customWidth="1"/>
    <x:col min="3" max="3" width="90" hidden="0" customWidth="1"/>
  </x:cols>
  <x:sheetData>
    <x:row r="1" ht="30" customHeight="1">
      <x:c r="A1" s="3" t="str">
        <x:v>Assumptions</x:v>
      </x:c>
    </x:row>
    <x:row r="2" ht="32" customHeight="1">
      <x:c r="A2" s="7" t="str">
        <x:v>Visible cohort rules. Changing these values requires rerunning the reproducible Python cohort build; no raw data is silently imputed.</x:v>
      </x:c>
    </x:row>
    <x:row r="4" ht="34" customHeight="1">
      <x:c r="A4" s="16" t="str">
        <x:v>Assumption</x:v>
      </x:c>
      <x:c r="B4" s="17" t="str">
        <x:v>Value</x:v>
      </x:c>
      <x:c r="C4" s="18" t="str">
        <x:v>Rationale</x:v>
      </x:c>
    </x:row>
    <x:row r="5" ht="27" customHeight="1">
      <x:c r="A5" s="26" t="str">
        <x:v>cohort_start</x:v>
      </x:c>
      <x:c r="B5" s="32" t="str">
        <x:v>2018-07-01</x:v>
      </x:c>
      <x:c r="C5" s="26" t="str">
        <x:v>First transfer date with a completed 2017-18 seasonal feature set.</x:v>
      </x:c>
    </x:row>
    <x:row r="6" ht="27" customHeight="1">
      <x:c r="A6" s="27" t="str">
        <x:v>cohort_end</x:v>
      </x:c>
      <x:c r="B6" s="33" t="str">
        <x:v>2024-02-27</x:v>
      </x:c>
      <x:c r="C6" s="27" t="str">
        <x:v>Latest date with a full two-year horizon before the final valuation observation.</x:v>
      </x:c>
    </x:row>
    <x:row r="7" ht="27" customHeight="1">
      <x:c r="A7" s="27" t="str">
        <x:v>valuation_data_max_date</x:v>
      </x:c>
      <x:c r="B7" s="33" t="str">
        <x:v>2026-02-27</x:v>
      </x:c>
      <x:c r="C7" s="27" t="str">
        <x:v>Observed directly from player_valuations.csv.</x:v>
      </x:c>
    </x:row>
    <x:row r="8" ht="27" customHeight="1">
      <x:c r="A8" s="27" t="str">
        <x:v>pre_valuation_max_age_days</x:v>
      </x:c>
      <x:c r="B8" s="33" t="n">
        <x:v>365</x:v>
      </x:c>
      <x:c r="C8" s="27" t="str">
        <x:v>Pre-transfer valuation must be on/before transfer and no more than this many days old.</x:v>
      </x:c>
    </x:row>
    <x:row r="9" ht="27" customHeight="1">
      <x:c r="A9" s="27" t="str">
        <x:v>post_valuation_tolerance_days</x:v>
      </x:c>
      <x:c r="B9" s="33" t="n">
        <x:v>90</x:v>
      </x:c>
      <x:c r="C9" s="27" t="str">
        <x:v>Nearest valuation must fall within +/- this many days of the 12m or 24m target.</x:v>
      </x:c>
    </x:row>
    <x:row r="10" ht="27" customHeight="1">
      <x:c r="A10" s="27" t="str">
        <x:v>sporting_min_destination_games_12m</x:v>
      </x:c>
      <x:c r="B10" s="33" t="n">
        <x:v>10</x:v>
      </x:c>
      <x:c r="C10" s="27" t="str">
        <x:v>Coverage floor before treating no player appearances as a valid 12m outcome.</x:v>
      </x:c>
    </x:row>
    <x:row r="11" ht="27" customHeight="1">
      <x:c r="A11" s="27" t="str">
        <x:v>sporting_min_destination_games_24m</x:v>
      </x:c>
      <x:c r="B11" s="33" t="n">
        <x:v>20</x:v>
      </x:c>
      <x:c r="C11" s="27" t="str">
        <x:v>Coverage floor before treating no player appearances as a valid 24m outcome.</x:v>
      </x:c>
    </x:row>
    <x:row r="12" ht="27" customHeight="1">
      <x:c r="A12" s="27" t="str">
        <x:v>financial_sample_status</x:v>
      </x:c>
      <x:c r="B12" s="33" t="str">
        <x:v>provisional</x:v>
      </x:c>
      <x:c r="C12" s="27" t="str">
        <x:v>Positive fees can still include loan fees; transfer movement type is unavailable and must be classified.</x:v>
      </x:c>
    </x:row>
    <x:row r="13" ht="27" customHeight="1">
      <x:c r="A13" s="27" t="str">
        <x:v>roi_proxy_definition</x:v>
      </x:c>
      <x:c r="B13" s="33" t="str">
        <x:v>(post valuation - fee) / fee</x:v>
      </x:c>
      <x:c r="C13" s="27" t="str">
        <x:v>A valuation proxy, not realized accounting profit or resale ROI.</x:v>
      </x:c>
    </x:row>
    <x:row r="14" ht="27" customHeight="1">
      <x:c r="A14" s="28" t="str">
        <x:v>seasonal_rate_aggregation</x:v>
      </x:c>
      <x:c r="B14" s="34" t="str">
        <x:v>minutes-weighted</x:v>
      </x:c>
      <x:c r="C14" s="28" t="str">
        <x:v>Counts are summed; per-90 and percentage metrics are minutes-weighted across player-season rows.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bb4c3faeb5fc49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58" hidden="0" customWidth="1"/>
    <x:col min="4" max="4" width="15" hidden="0" customWidth="1"/>
    <x:col min="5" max="5" width="17" hidden="0" customWidth="1"/>
    <x:col min="6" max="6" width="20" hidden="0" customWidth="1"/>
    <x:col min="7" max="7" width="17" hidden="0" customWidth="1"/>
    <x:col min="8" max="8" width="18" hidden="0" customWidth="1"/>
    <x:col min="9" max="9" width="70" hidden="0" customWidth="1"/>
  </x:cols>
  <x:sheetData>
    <x:row r="1" ht="30" customHeight="1">
      <x:c r="A1" s="3" t="str">
        <x:v>Retention Funnels</x:v>
      </x:c>
    </x:row>
    <x:row r="2" ht="32" customHeight="1">
      <x:c r="A2" s="7" t="str">
        <x:v>Sequential retention for the broad master, sporting, financial, and strict combined 24-month samples.</x:v>
      </x:c>
    </x:row>
    <x:row r="4" ht="34" customHeight="1">
      <x:c r="A4" s="16" t="str">
        <x:v>Funnel</x:v>
      </x:c>
      <x:c r="B4" s="17" t="str">
        <x:v>Step</x:v>
      </x:c>
      <x:c r="C4" s="17" t="str">
        <x:v>Stage</x:v>
      </x:c>
      <x:c r="D4" s="17" t="str">
        <x:v>Records</x:v>
      </x:c>
      <x:c r="E4" s="17" t="str">
        <x:v>Previous Stage</x:v>
      </x:c>
      <x:c r="F4" s="17" t="str">
        <x:v>Retention vs Previous</x:v>
      </x:c>
      <x:c r="G4" s="17" t="str">
        <x:v>Starting Records</x:v>
      </x:c>
      <x:c r="H4" s="17" t="str">
        <x:v>Retention vs Start</x:v>
      </x:c>
      <x:c r="I4" s="18" t="str">
        <x:v>Note</x:v>
      </x:c>
    </x:row>
    <x:row r="5" ht="27" customHeight="1">
      <x:c r="A5" s="26" t="str">
        <x:v>Master</x:v>
      </x:c>
      <x:c r="B5" s="35" t="n">
        <x:v>0</x:v>
      </x:c>
      <x:c r="C5" s="26" t="str">
        <x:v>All recorded transfers</x:v>
      </x:c>
      <x:c r="D5" s="38" t="n">
        <x:v>35139</x:v>
      </x:c>
      <x:c r="E5" s="38"/>
      <x:c r="F5" s="41"/>
      <x:c r="G5" s="38" t="n">
        <x:v>35139</x:v>
      </x:c>
      <x:c r="H5" s="41" t="n">
        <x:v>1</x:v>
      </x:c>
      <x:c r="I5" s="26" t="str">
        <x:v>Unfiltered transfers.csv</x:v>
      </x:c>
    </x:row>
    <x:row r="6" ht="27" customHeight="1">
      <x:c r="A6" s="27" t="str">
        <x:v>Master</x:v>
      </x:c>
      <x:c r="B6" s="36" t="n">
        <x:v>1</x:v>
      </x:c>
      <x:c r="C6" s="27" t="str">
        <x:v>Inside cohort date window</x:v>
      </x:c>
      <x:c r="D6" s="39" t="n">
        <x:v>17060</x:v>
      </x:c>
      <x:c r="E6" s="39" t="n">
        <x:v>35139</x:v>
      </x:c>
      <x:c r="F6" s="42" t="n">
        <x:v>0.4855004411053246</x:v>
      </x:c>
      <x:c r="G6" s="39" t="n">
        <x:v>35139</x:v>
      </x:c>
      <x:c r="H6" s="42" t="n">
        <x:v>0.4855004411053246</x:v>
      </x:c>
      <x:c r="I6" s="27" t="str">
        <x:v>2018-07-01 through the full 24m valuation cutoff</x:v>
      </x:c>
    </x:row>
    <x:row r="7" ht="27" customHeight="1">
      <x:c r="A7" s="27" t="str">
        <x:v>Master</x:v>
      </x:c>
      <x:c r="B7" s="36" t="n">
        <x:v>2</x:v>
      </x:c>
      <x:c r="C7" s="27" t="str">
        <x:v>Movement changes club ID</x:v>
      </x:c>
      <x:c r="D7" s="39" t="n">
        <x:v>17060</x:v>
      </x:c>
      <x:c r="E7" s="39" t="n">
        <x:v>17060</x:v>
      </x:c>
      <x:c r="F7" s="42" t="n">
        <x:v>1</x:v>
      </x:c>
      <x:c r="G7" s="39" t="n">
        <x:v>35139</x:v>
      </x:c>
      <x:c r="H7" s="42" t="n">
        <x:v>0.4855004411053246</x:v>
      </x:c>
      <x:c r="I7" s="27" t="str">
        <x:v>Removes same-ID administrative movements</x:v>
      </x:c>
    </x:row>
    <x:row r="8" ht="27" customHeight="1">
      <x:c r="A8" s="27" t="str">
        <x:v>Master</x:v>
      </x:c>
      <x:c r="B8" s="36" t="n">
        <x:v>3</x:v>
      </x:c>
      <x:c r="C8" s="27" t="str">
        <x:v>Has prior completed seasonal features</x:v>
      </x:c>
      <x:c r="D8" s="39" t="n">
        <x:v>1890</x:v>
      </x:c>
      <x:c r="E8" s="39" t="n">
        <x:v>17060</x:v>
      </x:c>
      <x:c r="F8" s="42" t="n">
        <x:v>0.11078546307151231</x:v>
      </x:c>
      <x:c r="G8" s="39" t="n">
        <x:v>35139</x:v>
      </x:c>
      <x:c r="H8" s="42" t="n">
        <x:v>0.053786391189276875</x:v>
      </x:c>
      <x:c r="I8" s="27" t="str">
        <x:v>Latest completed season before transfer</x:v>
      </x:c>
    </x:row>
    <x:row r="9" ht="27" customHeight="1">
      <x:c r="A9" s="27" t="str">
        <x:v>Sporting 24m</x:v>
      </x:c>
      <x:c r="B9" s="36" t="n">
        <x:v>0</x:v>
      </x:c>
      <x:c r="C9" s="27" t="str">
        <x:v>Dated cross-club candidates</x:v>
      </x:c>
      <x:c r="D9" s="39" t="n">
        <x:v>17060</x:v>
      </x:c>
      <x:c r="E9" s="39"/>
      <x:c r="F9" s="42"/>
      <x:c r="G9" s="39" t="n">
        <x:v>17060</x:v>
      </x:c>
      <x:c r="H9" s="42" t="n">
        <x:v>1</x:v>
      </x:c>
      <x:c r="I9" s="27" t="str">
        <x:v>Master sporting candidate base</x:v>
      </x:c>
    </x:row>
    <x:row r="10" ht="27" customHeight="1">
      <x:c r="A10" s="27" t="str">
        <x:v>Sporting 24m</x:v>
      </x:c>
      <x:c r="B10" s="36" t="n">
        <x:v>1</x:v>
      </x:c>
      <x:c r="C10" s="27" t="str">
        <x:v>Has prior completed seasonal features</x:v>
      </x:c>
      <x:c r="D10" s="39" t="n">
        <x:v>1890</x:v>
      </x:c>
      <x:c r="E10" s="39" t="n">
        <x:v>17060</x:v>
      </x:c>
      <x:c r="F10" s="42" t="n">
        <x:v>0.11078546307151231</x:v>
      </x:c>
      <x:c r="G10" s="39" t="n">
        <x:v>17060</x:v>
      </x:c>
      <x:c r="H10" s="42" t="n">
        <x:v>0.11078546307151231</x:v>
      </x:c>
      <x:c r="I10" s="27" t="str">
        <x:v>Required baseline features</x:v>
      </x:c>
    </x:row>
    <x:row r="11" ht="27" customHeight="1">
      <x:c r="A11" s="27" t="str">
        <x:v>Sporting 24m</x:v>
      </x:c>
      <x:c r="B11" s="36" t="n">
        <x:v>2</x:v>
      </x:c>
      <x:c r="C11" s="27" t="str">
        <x:v>Destination coverage: &gt;=10 games at 12m and &gt;=20 at 24m</x:v>
      </x:c>
      <x:c r="D11" s="39" t="n">
        <x:v>1314</x:v>
      </x:c>
      <x:c r="E11" s="39" t="n">
        <x:v>1890</x:v>
      </x:c>
      <x:c r="F11" s="42" t="n">
        <x:v>0.6952380952380952</x:v>
      </x:c>
      <x:c r="G11" s="39" t="n">
        <x:v>17060</x:v>
      </x:c>
      <x:c r="H11" s="42" t="n">
        <x:v>0.07702227432590855</x:v>
      </x:c>
      <x:c r="I11" s="27" t="str">
        <x:v>Allows zero player appearances to be interpreted as an outcome</x:v>
      </x:c>
    </x:row>
    <x:row r="12" ht="27" customHeight="1">
      <x:c r="A12" s="27" t="str">
        <x:v>Financial 24m</x:v>
      </x:c>
      <x:c r="B12" s="36" t="n">
        <x:v>0</x:v>
      </x:c>
      <x:c r="C12" s="27" t="str">
        <x:v>Dated cross-club candidates</x:v>
      </x:c>
      <x:c r="D12" s="39" t="n">
        <x:v>17060</x:v>
      </x:c>
      <x:c r="E12" s="39"/>
      <x:c r="F12" s="42"/>
      <x:c r="G12" s="39" t="n">
        <x:v>17060</x:v>
      </x:c>
      <x:c r="H12" s="42" t="n">
        <x:v>1</x:v>
      </x:c>
      <x:c r="I12" s="27" t="str">
        <x:v>Master financial candidate base</x:v>
      </x:c>
    </x:row>
    <x:row r="13" ht="27" customHeight="1">
      <x:c r="A13" s="27" t="str">
        <x:v>Financial 24m</x:v>
      </x:c>
      <x:c r="B13" s="36" t="n">
        <x:v>1</x:v>
      </x:c>
      <x:c r="C13" s="27" t="str">
        <x:v>Positive disclosed fee</x:v>
      </x:c>
      <x:c r="D13" s="39" t="n">
        <x:v>1253</x:v>
      </x:c>
      <x:c r="E13" s="39" t="n">
        <x:v>17060</x:v>
      </x:c>
      <x:c r="F13" s="42" t="n">
        <x:v>0.07344665885111372</x:v>
      </x:c>
      <x:c r="G13" s="39" t="n">
        <x:v>17060</x:v>
      </x:c>
      <x:c r="H13" s="42" t="n">
        <x:v>0.07344665885111372</x:v>
      </x:c>
      <x:c r="I13" s="27" t="str">
        <x:v>Still provisional until loans are classified</x:v>
      </x:c>
    </x:row>
    <x:row r="14" ht="27" customHeight="1">
      <x:c r="A14" s="27" t="str">
        <x:v>Financial 24m</x:v>
      </x:c>
      <x:c r="B14" s="36" t="n">
        <x:v>2</x:v>
      </x:c>
      <x:c r="C14" s="27" t="str">
        <x:v>Pre-transfer valuation within 365d</x:v>
      </x:c>
      <x:c r="D14" s="39" t="n">
        <x:v>1157</x:v>
      </x:c>
      <x:c r="E14" s="39" t="n">
        <x:v>1253</x:v>
      </x:c>
      <x:c r="F14" s="42" t="n">
        <x:v>0.9233838786911412</x:v>
      </x:c>
      <x:c r="G14" s="39" t="n">
        <x:v>17060</x:v>
      </x:c>
      <x:c r="H14" s="42" t="n">
        <x:v>0.06781946072684643</x:v>
      </x:c>
      <x:c r="I14" s="27" t="str">
        <x:v>As-of valuation</x:v>
      </x:c>
    </x:row>
    <x:row r="15" ht="27" customHeight="1">
      <x:c r="A15" s="27" t="str">
        <x:v>Financial 24m</x:v>
      </x:c>
      <x:c r="B15" s="36" t="n">
        <x:v>3</x:v>
      </x:c>
      <x:c r="C15" s="27" t="str">
        <x:v>24m valuation within +/-90d</x:v>
      </x:c>
      <x:c r="D15" s="39" t="n">
        <x:v>957</x:v>
      </x:c>
      <x:c r="E15" s="39" t="n">
        <x:v>1157</x:v>
      </x:c>
      <x:c r="F15" s="42" t="n">
        <x:v>0.8271391529818496</x:v>
      </x:c>
      <x:c r="G15" s="39" t="n">
        <x:v>17060</x:v>
      </x:c>
      <x:c r="H15" s="42" t="n">
        <x:v>0.05609613130128956</x:v>
      </x:c>
      <x:c r="I15" s="27" t="str">
        <x:v>Provisional financial sample</x:v>
      </x:c>
    </x:row>
    <x:row r="16" ht="27" customHeight="1">
      <x:c r="A16" s="27" t="str">
        <x:v>Combined 24m</x:v>
      </x:c>
      <x:c r="B16" s="36" t="n">
        <x:v>0</x:v>
      </x:c>
      <x:c r="C16" s="27" t="str">
        <x:v>Sporting-eligible 24m</x:v>
      </x:c>
      <x:c r="D16" s="39" t="n">
        <x:v>1314</x:v>
      </x:c>
      <x:c r="E16" s="39"/>
      <x:c r="F16" s="42"/>
      <x:c r="G16" s="39" t="n">
        <x:v>1314</x:v>
      </x:c>
      <x:c r="H16" s="42" t="n">
        <x:v>1</x:v>
      </x:c>
      <x:c r="I16" s="27" t="str">
        <x:v>Prior season plus destination coverage</x:v>
      </x:c>
    </x:row>
    <x:row r="17" ht="27" customHeight="1">
      <x:c r="A17" s="28" t="str">
        <x:v>Combined 24m</x:v>
      </x:c>
      <x:c r="B17" s="37" t="n">
        <x:v>1</x:v>
      </x:c>
      <x:c r="C17" s="28" t="str">
        <x:v>Also financial-eligible 24m</x:v>
      </x:c>
      <x:c r="D17" s="40" t="n">
        <x:v>244</x:v>
      </x:c>
      <x:c r="E17" s="40" t="n">
        <x:v>1314</x:v>
      </x:c>
      <x:c r="F17" s="43" t="n">
        <x:v>0.1856925418569254</x:v>
      </x:c>
      <x:c r="G17" s="40" t="n">
        <x:v>1314</x:v>
      </x:c>
      <x:c r="H17" s="43" t="n">
        <x:v>0.1856925418569254</x:v>
      </x:c>
      <x:c r="I17" s="28" t="str">
        <x:v>Strict overlap sample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8bffb438ae44f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7" hidden="0" customWidth="1"/>
    <x:col min="3" max="3" width="18" hidden="0" customWidth="1"/>
  </x:cols>
  <x:sheetData>
    <x:row r="1" ht="30" customHeight="1">
      <x:c r="A1" s="3" t="str">
        <x:v>Eligibility Summary</x:v>
      </x:c>
    </x:row>
    <x:row r="2" ht="32" customHeight="1">
      <x:c r="A2" s="7" t="str">
        <x:v>Independent availability and model-sample flags across the 17,060 dated cohort records.</x:v>
      </x:c>
    </x:row>
    <x:row r="4" ht="34" customHeight="1">
      <x:c r="A4" s="16" t="str">
        <x:v>Eligibility Flag</x:v>
      </x:c>
      <x:c r="B4" s="17" t="str">
        <x:v>Records</x:v>
      </x:c>
      <x:c r="C4" s="18" t="str">
        <x:v>% of Cohort</x:v>
      </x:c>
    </x:row>
    <x:row r="5" ht="27" customHeight="1">
      <x:c r="A5" s="26" t="str">
        <x:v>player_in_dimension</x:v>
      </x:c>
      <x:c r="B5" s="38" t="n">
        <x:v>17060</x:v>
      </x:c>
      <x:c r="C5" s="41" t="n">
        <x:v>1</x:v>
      </x:c>
    </x:row>
    <x:row r="6" ht="27" customHeight="1">
      <x:c r="A6" s="27" t="str">
        <x:v>has_preseason_features</x:v>
      </x:c>
      <x:c r="B6" s="39" t="n">
        <x:v>1890</x:v>
      </x:c>
      <x:c r="C6" s="42" t="n">
        <x:v>0.11078546307151231</x:v>
      </x:c>
    </x:row>
    <x:row r="7" ht="27" customHeight="1">
      <x:c r="A7" s="27" t="str">
        <x:v>has_pre_valuation_365d</x:v>
      </x:c>
      <x:c r="B7" s="39" t="n">
        <x:v>10294</x:v>
      </x:c>
      <x:c r="C7" s="42" t="n">
        <x:v>0.6033997655334115</x:v>
      </x:c>
    </x:row>
    <x:row r="8" ht="27" customHeight="1">
      <x:c r="A8" s="27" t="str">
        <x:v>has_post12_valuation_90d</x:v>
      </x:c>
      <x:c r="B8" s="39" t="n">
        <x:v>10961</x:v>
      </x:c>
      <x:c r="C8" s="42" t="n">
        <x:v>0.6424970691676436</x:v>
      </x:c>
    </x:row>
    <x:row r="9" ht="27" customHeight="1">
      <x:c r="A9" s="27" t="str">
        <x:v>has_post24_valuation_90d</x:v>
      </x:c>
      <x:c r="B9" s="39" t="n">
        <x:v>10616</x:v>
      </x:c>
      <x:c r="C9" s="42" t="n">
        <x:v>0.622274325908558</x:v>
      </x:c>
    </x:row>
    <x:row r="10" ht="27" customHeight="1">
      <x:c r="A10" s="27" t="str">
        <x:v>has_destination_coverage_12m</x:v>
      </x:c>
      <x:c r="B10" s="39" t="n">
        <x:v>5656</x:v>
      </x:c>
      <x:c r="C10" s="42" t="n">
        <x:v>0.33153575615474795</x:v>
      </x:c>
    </x:row>
    <x:row r="11" ht="27" customHeight="1">
      <x:c r="A11" s="27" t="str">
        <x:v>has_destination_coverage_24m</x:v>
      </x:c>
      <x:c r="B11" s="39" t="n">
        <x:v>6205</x:v>
      </x:c>
      <x:c r="C11" s="42" t="n">
        <x:v>0.3637162954279015</x:v>
      </x:c>
    </x:row>
    <x:row r="12" ht="27" customHeight="1">
      <x:c r="A12" s="27" t="str">
        <x:v>has_positive_disclosed_fee</x:v>
      </x:c>
      <x:c r="B12" s="39" t="n">
        <x:v>1253</x:v>
      </x:c>
      <x:c r="C12" s="42" t="n">
        <x:v>0.07344665885111372</x:v>
      </x:c>
    </x:row>
    <x:row r="13" ht="27" customHeight="1">
      <x:c r="A13" s="27" t="str">
        <x:v>eligible_sporting_12m</x:v>
      </x:c>
      <x:c r="B13" s="39" t="n">
        <x:v>1326</x:v>
      </x:c>
      <x:c r="C13" s="42" t="n">
        <x:v>0.07772567409144197</x:v>
      </x:c>
    </x:row>
    <x:row r="14" ht="27" customHeight="1">
      <x:c r="A14" s="27" t="str">
        <x:v>eligible_sporting_24m</x:v>
      </x:c>
      <x:c r="B14" s="39" t="n">
        <x:v>1314</x:v>
      </x:c>
      <x:c r="C14" s="42" t="n">
        <x:v>0.07702227432590855</x:v>
      </x:c>
    </x:row>
    <x:row r="15" ht="27" customHeight="1">
      <x:c r="A15" s="27" t="str">
        <x:v>eligible_financial_12m_provisional</x:v>
      </x:c>
      <x:c r="B15" s="39" t="n">
        <x:v>1058</x:v>
      </x:c>
      <x:c r="C15" s="42" t="n">
        <x:v>0.06201641266119578</x:v>
      </x:c>
    </x:row>
    <x:row r="16" ht="27" customHeight="1">
      <x:c r="A16" s="27" t="str">
        <x:v>eligible_financial_24m_provisional</x:v>
      </x:c>
      <x:c r="B16" s="39" t="n">
        <x:v>957</x:v>
      </x:c>
      <x:c r="C16" s="42" t="n">
        <x:v>0.05609613130128956</x:v>
      </x:c>
    </x:row>
    <x:row r="17" ht="27" customHeight="1">
      <x:c r="A17" s="28" t="str">
        <x:v>eligible_combined_24m_provisional</x:v>
      </x:c>
      <x:c r="B17" s="40" t="n">
        <x:v>244</x:v>
      </x:c>
      <x:c r="C17" s="43" t="n">
        <x:v>0.014302461899179367</x:v>
      </x:c>
    </x:row>
  </x:sheetData>
  <x:mergeCells>
    <x:mergeCell ref="A1:C1"/>
    <x:mergeCell ref="A2:C2"/>
  </x:mergeCells>
  <x:conditionalFormatting sqref="C5:C17">
    <x:cfRule type="dataBar" priority="1">
      <x:dataBar>
        <x:cfvo type="min"/>
        <x:cfvo type="max"/>
        <x:color rgb="FF2A9D8F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033374d615248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22" hidden="0" customWidth="1"/>
    <x:col min="5" max="5" width="16" hidden="0" customWidth="1"/>
    <x:col min="6" max="6" width="17" hidden="0" customWidth="1"/>
    <x:col min="7" max="7" width="22" hidden="0" customWidth="1"/>
    <x:col min="8" max="8" width="21" hidden="0" customWidth="1"/>
    <x:col min="9" max="9" width="24" hidden="0" customWidth="1"/>
  </x:cols>
  <x:sheetData>
    <x:row r="1" ht="30" customHeight="1">
      <x:c r="A1" s="3" t="str">
        <x:v>By Season</x:v>
      </x:c>
    </x:row>
    <x:row r="2" ht="32" customHeight="1">
      <x:c r="A2" s="7" t="str">
        <x:v>Cohort and eligible sample sizes using the season derived from transfer_date rather than potentially inconsistent source labels.</x:v>
      </x:c>
    </x:row>
    <x:row r="4" ht="34" customHeight="1">
      <x:c r="A4" s="16" t="str">
        <x:v>Season</x:v>
      </x:c>
      <x:c r="B4" s="17" t="str">
        <x:v>Transfers</x:v>
      </x:c>
      <x:c r="C4" s="17" t="str">
        <x:v>Unique Players</x:v>
      </x:c>
      <x:c r="D4" s="17" t="str">
        <x:v>Prior-season Features</x:v>
      </x:c>
      <x:c r="E4" s="17" t="str">
        <x:v>Positive Fees</x:v>
      </x:c>
      <x:c r="F4" s="17" t="str">
        <x:v>Sporting 24m</x:v>
      </x:c>
      <x:c r="G4" s="17" t="str">
        <x:v>Financial 24m (Prov.)</x:v>
      </x:c>
      <x:c r="H4" s="17" t="str">
        <x:v>Combined 24m (Prov.)</x:v>
      </x:c>
      <x:c r="I4" s="18" t="str">
        <x:v>Median Positive Fee (EUR)</x:v>
      </x:c>
    </x:row>
    <x:row r="5" ht="27" customHeight="1">
      <x:c r="A5" s="26" t="str">
        <x:v>18/19</x:v>
      </x:c>
      <x:c r="B5" s="38" t="n">
        <x:v>2160</x:v>
      </x:c>
      <x:c r="C5" s="38" t="n">
        <x:v>1582</x:v>
      </x:c>
      <x:c r="D5" s="38" t="n">
        <x:v>201</x:v>
      </x:c>
      <x:c r="E5" s="38" t="n">
        <x:v>192</x:v>
      </x:c>
      <x:c r="F5" s="38" t="n">
        <x:v>161</x:v>
      </x:c>
      <x:c r="G5" s="38" t="n">
        <x:v>163</x:v>
      </x:c>
      <x:c r="H5" s="38" t="n">
        <x:v>51</x:v>
      </x:c>
      <x:c r="I5" s="44" t="n">
        <x:v>1550000</x:v>
      </x:c>
    </x:row>
    <x:row r="6" ht="27" customHeight="1">
      <x:c r="A6" s="27" t="str">
        <x:v>19/20</x:v>
      </x:c>
      <x:c r="B6" s="39" t="n">
        <x:v>2331</x:v>
      </x:c>
      <x:c r="C6" s="39" t="n">
        <x:v>1763</x:v>
      </x:c>
      <x:c r="D6" s="39" t="n">
        <x:v>235</x:v>
      </x:c>
      <x:c r="E6" s="39" t="n">
        <x:v>207</x:v>
      </x:c>
      <x:c r="F6" s="39" t="n">
        <x:v>177</x:v>
      </x:c>
      <x:c r="G6" s="39" t="n">
        <x:v>179</x:v>
      </x:c>
      <x:c r="H6" s="39" t="n">
        <x:v>56</x:v>
      </x:c>
      <x:c r="I6" s="45" t="n">
        <x:v>1500000</x:v>
      </x:c>
    </x:row>
    <x:row r="7" ht="27" customHeight="1">
      <x:c r="A7" s="27" t="str">
        <x:v>20/21</x:v>
      </x:c>
      <x:c r="B7" s="39" t="n">
        <x:v>2847</x:v>
      </x:c>
      <x:c r="C7" s="39" t="n">
        <x:v>2032</x:v>
      </x:c>
      <x:c r="D7" s="39" t="n">
        <x:v>295</x:v>
      </x:c>
      <x:c r="E7" s="39" t="n">
        <x:v>179</x:v>
      </x:c>
      <x:c r="F7" s="39" t="n">
        <x:v>225</x:v>
      </x:c>
      <x:c r="G7" s="39" t="n">
        <x:v>153</x:v>
      </x:c>
      <x:c r="H7" s="39" t="n">
        <x:v>32</x:v>
      </x:c>
      <x:c r="I7" s="45" t="n">
        <x:v>1000000</x:v>
      </x:c>
    </x:row>
    <x:row r="8" ht="27" customHeight="1">
      <x:c r="A8" s="27" t="str">
        <x:v>21/22</x:v>
      </x:c>
      <x:c r="B8" s="39" t="n">
        <x:v>3084</x:v>
      </x:c>
      <x:c r="C8" s="39" t="n">
        <x:v>2213</x:v>
      </x:c>
      <x:c r="D8" s="39" t="n">
        <x:v>328</x:v>
      </x:c>
      <x:c r="E8" s="39" t="n">
        <x:v>198</x:v>
      </x:c>
      <x:c r="F8" s="39" t="n">
        <x:v>223</x:v>
      </x:c>
      <x:c r="G8" s="39" t="n">
        <x:v>182</x:v>
      </x:c>
      <x:c r="H8" s="39" t="n">
        <x:v>35</x:v>
      </x:c>
      <x:c r="I8" s="45" t="n">
        <x:v>837500</x:v>
      </x:c>
    </x:row>
    <x:row r="9" ht="27" customHeight="1">
      <x:c r="A9" s="27" t="str">
        <x:v>22/23</x:v>
      </x:c>
      <x:c r="B9" s="39" t="n">
        <x:v>3488</x:v>
      </x:c>
      <x:c r="C9" s="39" t="n">
        <x:v>2445</x:v>
      </x:c>
      <x:c r="D9" s="39" t="n">
        <x:v>424</x:v>
      </x:c>
      <x:c r="E9" s="39" t="n">
        <x:v>235</x:v>
      </x:c>
      <x:c r="F9" s="39" t="n">
        <x:v>281</x:v>
      </x:c>
      <x:c r="G9" s="39" t="n">
        <x:v>181</x:v>
      </x:c>
      <x:c r="H9" s="39" t="n">
        <x:v>49</x:v>
      </x:c>
      <x:c r="I9" s="45" t="n">
        <x:v>1000000</x:v>
      </x:c>
    </x:row>
    <x:row r="10" ht="27" customHeight="1">
      <x:c r="A10" s="28" t="str">
        <x:v>23/24</x:v>
      </x:c>
      <x:c r="B10" s="40" t="n">
        <x:v>3150</x:v>
      </x:c>
      <x:c r="C10" s="40" t="n">
        <x:v>2470</x:v>
      </x:c>
      <x:c r="D10" s="40" t="n">
        <x:v>407</x:v>
      </x:c>
      <x:c r="E10" s="40" t="n">
        <x:v>242</x:v>
      </x:c>
      <x:c r="F10" s="40" t="n">
        <x:v>247</x:v>
      </x:c>
      <x:c r="G10" s="40" t="n">
        <x:v>99</x:v>
      </x:c>
      <x:c r="H10" s="40" t="n">
        <x:v>21</x:v>
      </x:c>
      <x:c r="I10" s="46" t="n">
        <x:v>715000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e7074ddca734e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7" hidden="0" customWidth="1"/>
    <x:col min="3" max="3" width="18" hidden="0" customWidth="1"/>
  </x:cols>
  <x:sheetData>
    <x:row r="1" ht="30" customHeight="1">
      <x:c r="A1" s="3" t="str">
        <x:v>Exclusion Reasons</x:v>
      </x:c>
    </x:row>
    <x:row r="2" ht="32" customHeight="1">
      <x:c r="A2" s="7" t="str">
        <x:v>Reasons are nonexclusive: one transfer can fail multiple strict criteria. Missing and zero fees remain distinct.</x:v>
      </x:c>
    </x:row>
    <x:row r="4" ht="34" customHeight="1">
      <x:c r="A4" s="16" t="str">
        <x:v>Exclusion Reason</x:v>
      </x:c>
      <x:c r="B4" s="17" t="str">
        <x:v>Records</x:v>
      </x:c>
      <x:c r="C4" s="18" t="str">
        <x:v>% of Cohort</x:v>
      </x:c>
    </x:row>
    <x:row r="5" ht="27" customHeight="1">
      <x:c r="A5" s="26" t="str">
        <x:v>no_completed_seasonal_features</x:v>
      </x:c>
      <x:c r="B5" s="38" t="n">
        <x:v>15170</x:v>
      </x:c>
      <x:c r="C5" s="41" t="n">
        <x:v>0.8892145369284877</x:v>
      </x:c>
    </x:row>
    <x:row r="6" ht="27" customHeight="1">
      <x:c r="A6" s="27" t="str">
        <x:v>insufficient_destination_game_coverage_24m</x:v>
      </x:c>
      <x:c r="B6" s="39" t="n">
        <x:v>10855</x:v>
      </x:c>
      <x:c r="C6" s="42" t="n">
        <x:v>0.6362837045720985</x:v>
      </x:c>
    </x:row>
    <x:row r="7" ht="27" customHeight="1">
      <x:c r="A7" s="27" t="str">
        <x:v>fee_zero_or_unclassified_movement</x:v>
      </x:c>
      <x:c r="B7" s="39" t="n">
        <x:v>9752</x:v>
      </x:c>
      <x:c r="C7" s="42" t="n">
        <x:v>0.5716295427901524</x:v>
      </x:c>
    </x:row>
    <x:row r="8" ht="27" customHeight="1">
      <x:c r="A8" s="27" t="str">
        <x:v>no_pre_valuation_within_365d</x:v>
      </x:c>
      <x:c r="B8" s="39" t="n">
        <x:v>6766</x:v>
      </x:c>
      <x:c r="C8" s="42" t="n">
        <x:v>0.3966002344665885</x:v>
      </x:c>
    </x:row>
    <x:row r="9" ht="27" customHeight="1">
      <x:c r="A9" s="27" t="str">
        <x:v>no_post24_valuation_within_90d</x:v>
      </x:c>
      <x:c r="B9" s="39" t="n">
        <x:v>6444</x:v>
      </x:c>
      <x:c r="C9" s="42" t="n">
        <x:v>0.377725674091442</x:v>
      </x:c>
    </x:row>
    <x:row r="10" ht="27" customHeight="1">
      <x:c r="A10" s="28" t="str">
        <x:v>fee_missing</x:v>
      </x:c>
      <x:c r="B10" s="40" t="n">
        <x:v>6055</x:v>
      </x:c>
      <x:c r="C10" s="43" t="n">
        <x:v>0.3549237983587339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8b3340c88c046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34" hidden="0" customWidth="1"/>
  </x:cols>
  <x:sheetData>
    <x:row r="1" ht="30" customHeight="1">
      <x:c r="A1" s="3" t="str">
        <x:v>Valuation Sensitivity</x:v>
      </x:c>
    </x:row>
    <x:row r="2" ht="32" customHeight="1">
      <x:c r="A2" s="7" t="str">
        <x:v>Financial-sample sensitivity to the allowed distance between the target horizon and nearest valuation observation.</x:v>
      </x:c>
    </x:row>
    <x:row r="4" ht="34" customHeight="1">
      <x:c r="A4" s="16" t="str">
        <x:v>Horizon (Months)</x:v>
      </x:c>
      <x:c r="B4" s="17" t="str">
        <x:v>Tolerance (+/- Days)</x:v>
      </x:c>
      <x:c r="C4" s="17" t="str">
        <x:v>Eligible Records</x:v>
      </x:c>
      <x:c r="D4" s="18" t="str">
        <x:v>% of Positive-fee Pre-valued Base</x:v>
      </x:c>
    </x:row>
    <x:row r="5" ht="27" customHeight="1">
      <x:c r="A5" s="38" t="n">
        <x:v>12</x:v>
      </x:c>
      <x:c r="B5" s="38" t="n">
        <x:v>60</x:v>
      </x:c>
      <x:c r="C5" s="38" t="n">
        <x:v>814</x:v>
      </x:c>
      <x:c r="D5" s="41" t="n">
        <x:v>0.7035436473638721</x:v>
      </x:c>
    </x:row>
    <x:row r="6" ht="27" customHeight="1">
      <x:c r="A6" s="39" t="n">
        <x:v>12</x:v>
      </x:c>
      <x:c r="B6" s="39" t="n">
        <x:v>90</x:v>
      </x:c>
      <x:c r="C6" s="39" t="n">
        <x:v>1058</x:v>
      </x:c>
      <x:c r="D6" s="42" t="n">
        <x:v>0.9144338807260155</x:v>
      </x:c>
    </x:row>
    <x:row r="7" ht="27" customHeight="1">
      <x:c r="A7" s="39" t="n">
        <x:v>12</x:v>
      </x:c>
      <x:c r="B7" s="39" t="n">
        <x:v>120</x:v>
      </x:c>
      <x:c r="C7" s="39" t="n">
        <x:v>1098</x:v>
      </x:c>
      <x:c r="D7" s="42" t="n">
        <x:v>0.9490060501296457</x:v>
      </x:c>
    </x:row>
    <x:row r="8" ht="27" customHeight="1">
      <x:c r="A8" s="39" t="n">
        <x:v>12</x:v>
      </x:c>
      <x:c r="B8" s="39" t="n">
        <x:v>180</x:v>
      </x:c>
      <x:c r="C8" s="39" t="n">
        <x:v>1109</x:v>
      </x:c>
      <x:c r="D8" s="42" t="n">
        <x:v>0.958513396715644</x:v>
      </x:c>
    </x:row>
    <x:row r="9" ht="27" customHeight="1">
      <x:c r="A9" s="39" t="n">
        <x:v>24</x:v>
      </x:c>
      <x:c r="B9" s="39" t="n">
        <x:v>60</x:v>
      </x:c>
      <x:c r="C9" s="39" t="n">
        <x:v>737</x:v>
      </x:c>
      <x:c r="D9" s="42" t="n">
        <x:v>0.6369922212618842</x:v>
      </x:c>
    </x:row>
    <x:row r="10" ht="27" customHeight="1">
      <x:c r="A10" s="39" t="n">
        <x:v>24</x:v>
      </x:c>
      <x:c r="B10" s="39" t="n">
        <x:v>90</x:v>
      </x:c>
      <x:c r="C10" s="39" t="n">
        <x:v>957</x:v>
      </x:c>
      <x:c r="D10" s="42" t="n">
        <x:v>0.8271391529818496</x:v>
      </x:c>
    </x:row>
    <x:row r="11" ht="27" customHeight="1">
      <x:c r="A11" s="39" t="n">
        <x:v>24</x:v>
      </x:c>
      <x:c r="B11" s="39" t="n">
        <x:v>120</x:v>
      </x:c>
      <x:c r="C11" s="39" t="n">
        <x:v>995</x:v>
      </x:c>
      <x:c r="D11" s="42" t="n">
        <x:v>0.8599827139152982</x:v>
      </x:c>
    </x:row>
    <x:row r="12" ht="27" customHeight="1">
      <x:c r="A12" s="40" t="n">
        <x:v>24</x:v>
      </x:c>
      <x:c r="B12" s="40" t="n">
        <x:v>180</x:v>
      </x:c>
      <x:c r="C12" s="40" t="n">
        <x:v>1002</x:v>
      </x:c>
      <x:c r="D12" s="43" t="n">
        <x:v>0.8660328435609335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85a537ba52b47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6" hidden="0" customWidth="1"/>
  </x:cols>
  <x:sheetData>
    <x:row r="1" ht="30" customHeight="1">
      <x:c r="A1" s="3" t="str">
        <x:v>Crosswalk Summary</x:v>
      </x:c>
    </x:row>
    <x:row r="2" ht="32" customHeight="1">
      <x:c r="A2" s="7" t="str">
        <x:v>Deterministic normalized-name-plus-birth-year linkage from seasonal identities to Transfermarkt player IDs.</x:v>
      </x:c>
    </x:row>
    <x:row r="4" ht="34" customHeight="1">
      <x:c r="A4" s="16" t="str">
        <x:v>Match Status</x:v>
      </x:c>
      <x:c r="B4" s="17" t="str">
        <x:v>Seasonal Identities</x:v>
      </x:c>
      <x:c r="C4" s="17" t="str">
        <x:v>Seasonal Rows</x:v>
      </x:c>
      <x:c r="D4" s="17" t="str">
        <x:v>% of Identities</x:v>
      </x:c>
      <x:c r="E4" s="18" t="str">
        <x:v>% of Rows</x:v>
      </x:c>
    </x:row>
    <x:row r="5" ht="27" customHeight="1">
      <x:c r="A5" s="26" t="str">
        <x:v>ambiguous</x:v>
      </x:c>
      <x:c r="B5" s="38" t="n">
        <x:v>14</x:v>
      </x:c>
      <x:c r="C5" s="38" t="n">
        <x:v>55</x:v>
      </x:c>
      <x:c r="D5" s="41" t="n">
        <x:v>0.0023462376403552876</x:v>
      </x:c>
      <x:c r="E5" s="41" t="n">
        <x:v>0.003014855012881653</x:v>
      </x:c>
    </x:row>
    <x:row r="6" ht="27" customHeight="1">
      <x:c r="A6" s="27" t="str">
        <x:v>unique</x:v>
      </x:c>
      <x:c r="B6" s="39" t="n">
        <x:v>5483</x:v>
      </x:c>
      <x:c r="C6" s="39" t="n">
        <x:v>17043</x:v>
      </x:c>
      <x:c r="D6" s="42" t="n">
        <x:v>0.9188872130048601</x:v>
      </x:c>
      <x:c r="E6" s="42" t="n">
        <x:v>0.9342213451734912</x:v>
      </x:c>
    </x:row>
    <x:row r="7" ht="27" customHeight="1">
      <x:c r="A7" s="28" t="str">
        <x:v>unmatched</x:v>
      </x:c>
      <x:c r="B7" s="40" t="n">
        <x:v>470</x:v>
      </x:c>
      <x:c r="C7" s="40" t="n">
        <x:v>1145</x:v>
      </x:c>
      <x:c r="D7" s="43" t="n">
        <x:v>0.07876654935478465</x:v>
      </x:c>
      <x:c r="E7" s="43" t="n">
        <x:v>0.06276379981362715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e9892120b5e4e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2" hidden="0" customWidth="1"/>
    <x:col min="3" max="3" width="25" hidden="0" customWidth="1"/>
    <x:col min="4" max="4" width="15" hidden="0" customWidth="1"/>
    <x:col min="5" max="5" width="75" hidden="0" customWidth="1"/>
  </x:cols>
  <x:sheetData>
    <x:row r="1" ht="30" customHeight="1">
      <x:c r="A1" s="3" t="str">
        <x:v>Checks</x:v>
      </x:c>
    </x:row>
    <x:row r="2" ht="32" customHeight="1">
      <x:c r="A2" s="7" t="str">
        <x:v>One assertion per row. Warnings are retained for review; any FAIL blocks release. Current model status has no FAIL checks.</x:v>
      </x:c>
    </x:row>
    <x:row r="4" ht="34" customHeight="1">
      <x:c r="A4" s="16" t="str">
        <x:v>Check</x:v>
      </x:c>
      <x:c r="B4" s="17" t="str">
        <x:v>Actual</x:v>
      </x:c>
      <x:c r="C4" s="17" t="str">
        <x:v>Expected</x:v>
      </x:c>
      <x:c r="D4" s="17" t="str">
        <x:v>Status</x:v>
      </x:c>
      <x:c r="E4" s="18" t="str">
        <x:v>Notes</x:v>
      </x:c>
    </x:row>
    <x:row r="5" ht="27" customHeight="1">
      <x:c r="A5" s="26" t="str">
        <x:v>Transfer event ID uniqueness</x:v>
      </x:c>
      <x:c r="B5" s="26" t="n">
        <x:v>17060</x:v>
      </x:c>
      <x:c r="C5" s="26" t="n">
        <x:v>17060</x:v>
      </x:c>
      <x:c r="D5" s="26" t="str">
        <x:v>OK</x:v>
      </x:c>
      <x:c r="E5" s="26" t="str">
        <x:v>One row per source transfer key</x:v>
      </x:c>
    </x:row>
    <x:row r="6" ht="27" customHeight="1">
      <x:c r="A6" s="27" t="str">
        <x:v>Cohort start boundary</x:v>
      </x:c>
      <x:c r="B6" s="27" t="str">
        <x:v>2018-07-01</x:v>
      </x:c>
      <x:c r="C6" s="27" t="str">
        <x:v>&gt;= 2018-07-01</x:v>
      </x:c>
      <x:c r="D6" s="27" t="str">
        <x:v>OK</x:v>
      </x:c>
      <x:c r="E6" s="27" t="str">
        <x:v>No early records</x:v>
      </x:c>
    </x:row>
    <x:row r="7" ht="27" customHeight="1">
      <x:c r="A7" s="27" t="str">
        <x:v>Cohort end boundary</x:v>
      </x:c>
      <x:c r="B7" s="27" t="str">
        <x:v>2024-02-27</x:v>
      </x:c>
      <x:c r="C7" s="27" t="str">
        <x:v>&lt;= 2024-02-27</x:v>
      </x:c>
      <x:c r="D7" s="27" t="str">
        <x:v>OK</x:v>
      </x:c>
      <x:c r="E7" s="27" t="str">
        <x:v>Full 24m valuation horizon</x:v>
      </x:c>
    </x:row>
    <x:row r="8" ht="27" customHeight="1">
      <x:c r="A8" s="27" t="str">
        <x:v>Pre-valuations do not occur after transfer</x:v>
      </x:c>
      <x:c r="B8" s="27" t="n">
        <x:v>0</x:v>
      </x:c>
      <x:c r="C8" s="27" t="n">
        <x:v>0</x:v>
      </x:c>
      <x:c r="D8" s="27" t="str">
        <x:v>OK</x:v>
      </x:c>
      <x:c r="E8" s="27" t="str">
        <x:v>As-of join leakage check</x:v>
      </x:c>
    </x:row>
    <x:row r="9" ht="27" customHeight="1">
      <x:c r="A9" s="27" t="str">
        <x:v>Eligible 24m valuations meet tolerance</x:v>
      </x:c>
      <x:c r="B9" s="27" t="n">
        <x:v>0</x:v>
      </x:c>
      <x:c r="C9" s="27" t="n">
        <x:v>0</x:v>
      </x:c>
      <x:c r="D9" s="27" t="str">
        <x:v>OK</x:v>
      </x:c>
      <x:c r="E9" s="27" t="str">
        <x:v>Outcome timing check</x:v>
      </x:c>
    </x:row>
    <x:row r="10" ht="27" customHeight="1">
      <x:c r="A10" s="27" t="str">
        <x:v>Negative transfer fees</x:v>
      </x:c>
      <x:c r="B10" s="27" t="n">
        <x:v>0</x:v>
      </x:c>
      <x:c r="C10" s="27" t="n">
        <x:v>0</x:v>
      </x:c>
      <x:c r="D10" s="27" t="str">
        <x:v>OK</x:v>
      </x:c>
      <x:c r="E10" s="27" t="str">
        <x:v>Sign check</x:v>
      </x:c>
    </x:row>
    <x:row r="11" ht="27" customHeight="1">
      <x:c r="A11" s="27" t="str">
        <x:v>Negative appearance minutes</x:v>
      </x:c>
      <x:c r="B11" s="27" t="n">
        <x:v>0</x:v>
      </x:c>
      <x:c r="C11" s="27" t="n">
        <x:v>0</x:v>
      </x:c>
      <x:c r="D11" s="27" t="str">
        <x:v>OK</x:v>
      </x:c>
      <x:c r="E11" s="27" t="str">
        <x:v>Sporting metric sign check</x:v>
      </x:c>
    </x:row>
    <x:row r="12" ht="27" customHeight="1">
      <x:c r="A12" s="27" t="str">
        <x:v>Combined sample subset of sporting</x:v>
      </x:c>
      <x:c r="B12" s="27" t="n">
        <x:v>0</x:v>
      </x:c>
      <x:c r="C12" s="27" t="n">
        <x:v>0</x:v>
      </x:c>
      <x:c r="D12" s="27" t="str">
        <x:v>OK</x:v>
      </x:c>
      <x:c r="E12" s="27" t="str">
        <x:v>Eligibility reconciliation</x:v>
      </x:c>
    </x:row>
    <x:row r="13" ht="27" customHeight="1">
      <x:c r="A13" s="27" t="str">
        <x:v>Combined sample subset of financial</x:v>
      </x:c>
      <x:c r="B13" s="27" t="n">
        <x:v>0</x:v>
      </x:c>
      <x:c r="C13" s="27" t="n">
        <x:v>0</x:v>
      </x:c>
      <x:c r="D13" s="27" t="str">
        <x:v>OK</x:v>
      </x:c>
      <x:c r="E13" s="27" t="str">
        <x:v>Eligibility reconciliation</x:v>
      </x:c>
    </x:row>
    <x:row r="14" ht="27" customHeight="1">
      <x:c r="A14" s="27" t="str">
        <x:v>Transfer-season label/date mismatches</x:v>
      </x:c>
      <x:c r="B14" s="27" t="n">
        <x:v>174</x:v>
      </x:c>
      <x:c r="C14" s="27" t="n">
        <x:v>0</x:v>
      </x:c>
      <x:c r="D14" s="27" t="str">
        <x:v>WARNING</x:v>
      </x:c>
      <x:c r="E14" s="27" t="str">
        <x:v>Transfer date remains the authoritative time field; review mismatched labels</x:v>
      </x:c>
    </x:row>
    <x:row r="15" ht="27" customHeight="1">
      <x:c r="A15" s="28" t="str">
        <x:v>Ages outside 15-45</x:v>
      </x:c>
      <x:c r="B15" s="28" t="n">
        <x:v>317</x:v>
      </x:c>
      <x:c r="C15" s="28" t="n">
        <x:v>0</x:v>
      </x:c>
      <x:c r="D15" s="28" t="str">
        <x:v>WARNING</x:v>
      </x:c>
      <x:c r="E15" s="28" t="str">
        <x:v>Retained as a review flag rather than silently filtered</x:v>
      </x:c>
    </x:row>
  </x:sheetData>
  <x:mergeCells>
    <x:mergeCell ref="A1:E1"/>
    <x:mergeCell ref="A2:E2"/>
  </x:mergeCells>
  <x:conditionalFormatting sqref="D5:D15">
    <x:cfRule type="containsText" dxfId="0" priority="1" operator="containsText" text="OK"/>
    <x:cfRule type="containsText" dxfId="1" priority="2" operator="containsText" text="WARNING"/>
    <x:cfRule type="containsText" dxfId="2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f3d718a4fb1a42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5" hidden="0" customWidth="1"/>
    <x:col min="4" max="4" width="16" hidden="0" customWidth="1"/>
    <x:col min="5" max="5" width="68" hidden="0" customWidth="1"/>
    <x:col min="6" max="6" width="23" hidden="0" customWidth="1"/>
    <x:col min="7" max="7" width="55" hidden="0" customWidth="1"/>
    <x:col min="8" max="8" width="16" hidden="0" customWidth="1"/>
    <x:col min="9" max="9" width="14" hidden="0" customWidth="1"/>
    <x:col min="10" max="10" width="48" hidden="0" customWidth="1"/>
  </x:cols>
  <x:sheetData>
    <x:row r="1" ht="30" customHeight="1">
      <x:c r="A1" s="3" t="str">
        <x:v>Cohort Fields</x:v>
      </x:c>
    </x:row>
    <x:row r="2" ht="32" customHeight="1">
      <x:c r="A2" s="7" t="str">
        <x:v>Data dictionary for all 149 fields in data/processed/transfer_cohort_master.csv. Post-transfer fields are targets or diagnostics, never prediction features.</x:v>
      </x:c>
    </x:row>
    <x:row r="4" ht="34" customHeight="1">
      <x:c r="A4" s="16" t="str">
        <x:v>#</x:v>
      </x:c>
      <x:c r="B4" s="17" t="str">
        <x:v>Field</x:v>
      </x:c>
      <x:c r="C4" s="17" t="str">
        <x:v>Group</x:v>
      </x:c>
      <x:c r="D4" s="17" t="str">
        <x:v>Data Type</x:v>
      </x:c>
      <x:c r="E4" s="17" t="str">
        <x:v>Definition</x:v>
      </x:c>
      <x:c r="F4" s="17" t="str">
        <x:v>Modeling Usage</x:v>
      </x:c>
      <x:c r="G4" s="17" t="str">
        <x:v>Timing Rule</x:v>
      </x:c>
      <x:c r="H4" s="17" t="str">
        <x:v>Non-null</x:v>
      </x:c>
      <x:c r="I4" s="17" t="str">
        <x:v>Missing %</x:v>
      </x:c>
      <x:c r="J4" s="18" t="str">
        <x:v>Sample Values</x:v>
      </x:c>
    </x:row>
    <x:row r="5" ht="27" customHeight="1">
      <x:c r="A5" s="35" t="n">
        <x:v>1</x:v>
      </x:c>
      <x:c r="B5" s="26" t="str">
        <x:v>transfer_event_id</x:v>
      </x:c>
      <x:c r="C5" s="26" t="str">
        <x:v>Identifiers</x:v>
      </x:c>
      <x:c r="D5" s="26" t="str">
        <x:v>str</x:v>
      </x:c>
      <x:c r="E5" s="26" t="str">
        <x:v>Stable composite transfer key: player, transfer date, origin club, and destination club.</x:v>
      </x:c>
      <x:c r="F5" s="26" t="str">
        <x:v>Join/split control</x:v>
      </x:c>
      <x:c r="G5" s="26" t="str">
        <x:v>Do not use raw identifiers as numeric predictors</x:v>
      </x:c>
      <x:c r="H5" s="38" t="n">
        <x:v>17060</x:v>
      </x:c>
      <x:c r="I5" s="41" t="n">
        <x:v>0</x:v>
      </x:c>
      <x:c r="J5" s="26" t="str">
        <x:v>1000136_20180701_70321_44199 | 1005239_20180701_70344_100154 | 1020649_20180701_53956_48365 | 1031774_20180701_25336_17474</x:v>
      </x:c>
    </x:row>
    <x:row r="6" ht="27" customHeight="1">
      <x:c r="A6" s="36" t="n">
        <x:v>2</x:v>
      </x:c>
      <x:c r="B6" s="27" t="str">
        <x:v>player_id</x:v>
      </x:c>
      <x:c r="C6" s="27" t="str">
        <x:v>Identifiers</x:v>
      </x:c>
      <x:c r="D6" s="27" t="str">
        <x:v>str</x:v>
      </x:c>
      <x:c r="E6" s="27" t="str">
        <x:v>Transfermarkt player identifier.</x:v>
      </x:c>
      <x:c r="F6" s="27" t="str">
        <x:v>Join/split control</x:v>
      </x:c>
      <x:c r="G6" s="27" t="str">
        <x:v>Do not use raw identifiers as numeric predictors</x:v>
      </x:c>
      <x:c r="H6" s="39" t="n">
        <x:v>17060</x:v>
      </x:c>
      <x:c r="I6" s="42" t="n">
        <x:v>0</x:v>
      </x:c>
      <x:c r="J6" s="27" t="str">
        <x:v>1000136 | 1005239 | 1020649 | 1031774</x:v>
      </x:c>
    </x:row>
    <x:row r="7" ht="27" customHeight="1">
      <x:c r="A7" s="36" t="n">
        <x:v>3</x:v>
      </x:c>
      <x:c r="B7" s="27" t="str">
        <x:v>player_name</x:v>
      </x:c>
      <x:c r="C7" s="27" t="str">
        <x:v>Source/context</x:v>
      </x:c>
      <x:c r="D7" s="27" t="str">
        <x:v>str</x:v>
      </x:c>
      <x:c r="E7" s="27" t="str">
        <x:v>Player name recorded on the transfer event.</x:v>
      </x:c>
      <x:c r="F7" s="27" t="str">
        <x:v>Conditional</x:v>
      </x:c>
      <x:c r="G7" s="27" t="str">
        <x:v>Review definition and historical availability</x:v>
      </x:c>
      <x:c r="H7" s="39" t="n">
        <x:v>17060</x:v>
      </x:c>
      <x:c r="I7" s="42" t="n">
        <x:v>0</x:v>
      </x:c>
      <x:c r="J7" s="27" t="str">
        <x:v>Gorka Rivera | Philippe Lanquetin | Pedro Gomes | Jarzinho Malanga</x:v>
      </x:c>
    </x:row>
    <x:row r="8" ht="27" customHeight="1">
      <x:c r="A8" s="36" t="n">
        <x:v>4</x:v>
      </x:c>
      <x:c r="B8" s="27" t="str">
        <x:v>name</x:v>
      </x:c>
      <x:c r="C8" s="27" t="str">
        <x:v>Source/context</x:v>
      </x:c>
      <x:c r="D8" s="27" t="str">
        <x:v>str</x:v>
      </x:c>
      <x:c r="E8" s="27" t="str">
        <x:v>Source or derived cohort field: name.</x:v>
      </x:c>
      <x:c r="F8" s="27" t="str">
        <x:v>Conditional</x:v>
      </x:c>
      <x:c r="G8" s="27" t="str">
        <x:v>Review definition and historical availability</x:v>
      </x:c>
      <x:c r="H8" s="39" t="n">
        <x:v>17060</x:v>
      </x:c>
      <x:c r="I8" s="42" t="n">
        <x:v>0</x:v>
      </x:c>
      <x:c r="J8" s="27" t="str">
        <x:v>Gorka Rivera | Philippe Lanquetin | Pedro Gomes | Jarzinho Malanga</x:v>
      </x:c>
    </x:row>
    <x:row r="9" ht="27" customHeight="1">
      <x:c r="A9" s="36" t="n">
        <x:v>5</x:v>
      </x:c>
      <x:c r="B9" s="27" t="str">
        <x:v>transfer_date</x:v>
      </x:c>
      <x:c r="C9" s="27" t="str">
        <x:v>Time anchors</x:v>
      </x:c>
      <x:c r="D9" s="27" t="str">
        <x:v>datetime64[us]</x:v>
      </x:c>
      <x:c r="E9" s="27" t="str">
        <x:v>Authoritative transfer event date and feature cutoff.</x:v>
      </x:c>
      <x:c r="F9" s="27" t="str">
        <x:v>Split/control</x:v>
      </x:c>
      <x:c r="G9" s="27" t="str">
        <x:v>Use for as-of joins and chronological validation</x:v>
      </x:c>
      <x:c r="H9" s="39" t="n">
        <x:v>17060</x:v>
      </x:c>
      <x:c r="I9" s="42" t="n">
        <x:v>0</x:v>
      </x:c>
      <x:c r="J9" s="27" t="str">
        <x:v>2018-07-01 | 2018-07-02 | 2018-07-03 | 2018-07-04</x:v>
      </x:c>
    </x:row>
    <x:row r="10" ht="27" customHeight="1">
      <x:c r="A10" s="36" t="n">
        <x:v>6</x:v>
      </x:c>
      <x:c r="B10" s="27" t="str">
        <x:v>transfer_season</x:v>
      </x:c>
      <x:c r="C10" s="27" t="str">
        <x:v>Time anchors</x:v>
      </x:c>
      <x:c r="D10" s="27" t="str">
        <x:v>str</x:v>
      </x:c>
      <x:c r="E10" s="27" t="str">
        <x:v>Original transfer-season label from transfers.csv.</x:v>
      </x:c>
      <x:c r="F10" s="27" t="str">
        <x:v>Split/control</x:v>
      </x:c>
      <x:c r="G10" s="27" t="str">
        <x:v>Use for as-of joins and chronological validation</x:v>
      </x:c>
      <x:c r="H10" s="39" t="n">
        <x:v>17060</x:v>
      </x:c>
      <x:c r="I10" s="42" t="n">
        <x:v>0</x:v>
      </x:c>
      <x:c r="J10" s="27" t="str">
        <x:v>18/19 | 17/18 | 14/15 | 19/20</x:v>
      </x:c>
    </x:row>
    <x:row r="11" ht="27" customHeight="1">
      <x:c r="A11" s="36" t="n">
        <x:v>7</x:v>
      </x:c>
      <x:c r="B11" s="27" t="str">
        <x:v>expected_transfer_season</x:v>
      </x:c>
      <x:c r="C11" s="27" t="str">
        <x:v>Time anchors</x:v>
      </x:c>
      <x:c r="D11" s="27" t="str">
        <x:v>str</x:v>
      </x:c>
      <x:c r="E11" s="27" t="str">
        <x:v>Season derived deterministically from transfer_date using a July-to-June convention.</x:v>
      </x:c>
      <x:c r="F11" s="27" t="str">
        <x:v>Split/control</x:v>
      </x:c>
      <x:c r="G11" s="27" t="str">
        <x:v>Use for as-of joins and chronological validation</x:v>
      </x:c>
      <x:c r="H11" s="39" t="n">
        <x:v>17060</x:v>
      </x:c>
      <x:c r="I11" s="42" t="n">
        <x:v>0</x:v>
      </x:c>
      <x:c r="J11" s="27" t="str">
        <x:v>18/19 | 19/20 | 20/21 | 21/22</x:v>
      </x:c>
    </x:row>
    <x:row r="12" ht="27" customHeight="1">
      <x:c r="A12" s="36" t="n">
        <x:v>8</x:v>
      </x:c>
      <x:c r="B12" s="27" t="str">
        <x:v>transfer_season_matches_date</x:v>
      </x:c>
      <x:c r="C12" s="27" t="str">
        <x:v>Eligibility and quality</x:v>
      </x:c>
      <x:c r="D12" s="27" t="str">
        <x:v>bool</x:v>
      </x:c>
      <x:c r="E12" s="27" t="str">
        <x:v>Quality flag comparing the original season label with the date-derived season.</x:v>
      </x:c>
      <x:c r="F12" s="27" t="str">
        <x:v>Filter/diagnostic</x:v>
      </x:c>
      <x:c r="G12" s="27" t="str">
        <x:v>Defines sample membership; not a substantive predictor</x:v>
      </x:c>
      <x:c r="H12" s="39" t="n">
        <x:v>17060</x:v>
      </x:c>
      <x:c r="I12" s="42" t="n">
        <x:v>0</x:v>
      </x:c>
      <x:c r="J12" s="27" t="str">
        <x:v>True | False</x:v>
      </x:c>
    </x:row>
    <x:row r="13" ht="27" customHeight="1">
      <x:c r="A13" s="36" t="n">
        <x:v>9</x:v>
      </x:c>
      <x:c r="B13" s="27" t="str">
        <x:v>from_club_id</x:v>
      </x:c>
      <x:c r="C13" s="27" t="str">
        <x:v>Identifiers</x:v>
      </x:c>
      <x:c r="D13" s="27" t="str">
        <x:v>str</x:v>
      </x:c>
      <x:c r="E13" s="27" t="str">
        <x:v>Origin club/team identifier.</x:v>
      </x:c>
      <x:c r="F13" s="27" t="str">
        <x:v>Join/split control</x:v>
      </x:c>
      <x:c r="G13" s="27" t="str">
        <x:v>Do not use raw identifiers as numeric predictors</x:v>
      </x:c>
      <x:c r="H13" s="39" t="n">
        <x:v>17060</x:v>
      </x:c>
      <x:c r="I13" s="42" t="n">
        <x:v>0</x:v>
      </x:c>
      <x:c r="J13" s="27" t="str">
        <x:v>70321 | 70344 | 53956 | 25336</x:v>
      </x:c>
    </x:row>
    <x:row r="14" ht="27" customHeight="1">
      <x:c r="A14" s="36" t="n">
        <x:v>10</x:v>
      </x:c>
      <x:c r="B14" s="27" t="str">
        <x:v>from_club_name</x:v>
      </x:c>
      <x:c r="C14" s="27" t="str">
        <x:v>Source/context</x:v>
      </x:c>
      <x:c r="D14" s="27" t="str">
        <x:v>str</x:v>
      </x:c>
      <x:c r="E14" s="27" t="str">
        <x:v>Source or derived cohort field: from club name.</x:v>
      </x:c>
      <x:c r="F14" s="27" t="str">
        <x:v>Conditional</x:v>
      </x:c>
      <x:c r="G14" s="27" t="str">
        <x:v>Review definition and historical availability</x:v>
      </x:c>
      <x:c r="H14" s="39" t="n">
        <x:v>17060</x:v>
      </x:c>
      <x:c r="I14" s="42" t="n">
        <x:v>0</x:v>
      </x:c>
      <x:c r="J14" s="27" t="str">
        <x:v>R.Madrid Yth. | Bretigny Yth. | Sporting Sub-15 | Mannheim Yth.</x:v>
      </x:c>
    </x:row>
    <x:row r="15" ht="27" customHeight="1">
      <x:c r="A15" s="36" t="n">
        <x:v>11</x:v>
      </x:c>
      <x:c r="B15" s="27" t="str">
        <x:v>to_club_id</x:v>
      </x:c>
      <x:c r="C15" s="27" t="str">
        <x:v>Identifiers</x:v>
      </x:c>
      <x:c r="D15" s="27" t="str">
        <x:v>str</x:v>
      </x:c>
      <x:c r="E15" s="27" t="str">
        <x:v>Destination club/team identifier.</x:v>
      </x:c>
      <x:c r="F15" s="27" t="str">
        <x:v>Join/split control</x:v>
      </x:c>
      <x:c r="G15" s="27" t="str">
        <x:v>Do not use raw identifiers as numeric predictors</x:v>
      </x:c>
      <x:c r="H15" s="39" t="n">
        <x:v>17060</x:v>
      </x:c>
      <x:c r="I15" s="42" t="n">
        <x:v>0</x:v>
      </x:c>
      <x:c r="J15" s="27" t="str">
        <x:v>44199 | 100154 | 48365 | 17474</x:v>
      </x:c>
    </x:row>
    <x:row r="16" ht="27" customHeight="1">
      <x:c r="A16" s="36" t="n">
        <x:v>12</x:v>
      </x:c>
      <x:c r="B16" s="27" t="str">
        <x:v>to_club_name</x:v>
      </x:c>
      <x:c r="C16" s="27" t="str">
        <x:v>Source/context</x:v>
      </x:c>
      <x:c r="D16" s="27" t="str">
        <x:v>str</x:v>
      </x:c>
      <x:c r="E16" s="27" t="str">
        <x:v>Source or derived cohort field: to club name.</x:v>
      </x:c>
      <x:c r="F16" s="27" t="str">
        <x:v>Conditional</x:v>
      </x:c>
      <x:c r="G16" s="27" t="str">
        <x:v>Review definition and historical availability</x:v>
      </x:c>
      <x:c r="H16" s="39" t="n">
        <x:v>17060</x:v>
      </x:c>
      <x:c r="I16" s="42" t="n">
        <x:v>0</x:v>
      </x:c>
      <x:c r="J16" s="27" t="str">
        <x:v>Leganés Youth | Lens Yth. | Sporting U17 | Hoffenheim Yth.</x:v>
      </x:c>
    </x:row>
    <x:row r="17" ht="27" customHeight="1">
      <x:c r="A17" s="36" t="n">
        <x:v>13</x:v>
      </x:c>
      <x:c r="B17" s="27" t="str">
        <x:v>transfer_fee_eur</x:v>
      </x:c>
      <x:c r="C17" s="27" t="str">
        <x:v>Transfer economics</x:v>
      </x:c>
      <x:c r="D17" s="27" t="str">
        <x:v>float64</x:v>
      </x:c>
      <x:c r="E17" s="27" t="str">
        <x:v>Recorded transfer fee in euros; missing and zero values are not imputed.</x:v>
      </x:c>
      <x:c r="F17" s="27" t="str">
        <x:v>Feature/eligibility</x:v>
      </x:c>
      <x:c r="G17" s="27" t="str">
        <x:v>Known at transfer subject to movement-type validation</x:v>
      </x:c>
      <x:c r="H17" s="39" t="n">
        <x:v>11005</x:v>
      </x:c>
      <x:c r="I17" s="42" t="n">
        <x:v>0.3549237983587339</x:v>
      </x:c>
      <x:c r="J17" s="27" t="str">
        <x:v>0.0 | 2000000.0 | 7000000.0 | 2250000.0</x:v>
      </x:c>
    </x:row>
    <x:row r="18" ht="27" customHeight="1">
      <x:c r="A18" s="36" t="n">
        <x:v>14</x:v>
      </x:c>
      <x:c r="B18" s="27" t="str">
        <x:v>fee_status</x:v>
      </x:c>
      <x:c r="C18" s="27" t="str">
        <x:v>Transfer economics</x:v>
      </x:c>
      <x:c r="D18" s="27" t="str">
        <x:v>str</x:v>
      </x:c>
      <x:c r="E18" s="27" t="str">
        <x:v>Fee classification: positive, zero, missing, or other.</x:v>
      </x:c>
      <x:c r="F18" s="27" t="str">
        <x:v>Feature/eligibility</x:v>
      </x:c>
      <x:c r="G18" s="27" t="str">
        <x:v>Known at transfer subject to movement-type validation</x:v>
      </x:c>
      <x:c r="H18" s="39" t="n">
        <x:v>17060</x:v>
      </x:c>
      <x:c r="I18" s="42" t="n">
        <x:v>0</x:v>
      </x:c>
      <x:c r="J18" s="27" t="str">
        <x:v>zero | missing | positive</x:v>
      </x:c>
    </x:row>
    <x:row r="19" ht="27" customHeight="1">
      <x:c r="A19" s="36" t="n">
        <x:v>15</x:v>
      </x:c>
      <x:c r="B19" s="27" t="str">
        <x:v>listed_market_value_at_transfer_eur</x:v>
      </x:c>
      <x:c r="C19" s="27" t="str">
        <x:v>Transfer economics</x:v>
      </x:c>
      <x:c r="D19" s="27" t="str">
        <x:v>float64</x:v>
      </x:c>
      <x:c r="E19" s="27" t="str">
        <x:v>Market value stored directly on the transfer record.</x:v>
      </x:c>
      <x:c r="F19" s="27" t="str">
        <x:v>Feature/eligibility</x:v>
      </x:c>
      <x:c r="G19" s="27" t="str">
        <x:v>Known at transfer subject to movement-type validation</x:v>
      </x:c>
      <x:c r="H19" s="39" t="n">
        <x:v>10699</x:v>
      </x:c>
      <x:c r="I19" s="42" t="n">
        <x:v>0.3728604923798359</x:v>
      </x:c>
      <x:c r="J19" s="27" t="str">
        <x:v>3000000.0 | 500000.0 | 750000.0 | 350000.0</x:v>
      </x:c>
    </x:row>
    <x:row r="20" ht="27" customHeight="1">
      <x:c r="A20" s="36" t="n">
        <x:v>16</x:v>
      </x:c>
      <x:c r="B20" s="27" t="str">
        <x:v>date_of_birth</x:v>
      </x:c>
      <x:c r="C20" s="27" t="str">
        <x:v>Source/context</x:v>
      </x:c>
      <x:c r="D20" s="27" t="str">
        <x:v>datetime64[us]</x:v>
      </x:c>
      <x:c r="E20" s="27" t="str">
        <x:v>Source or derived cohort field: date of birth.</x:v>
      </x:c>
      <x:c r="F20" s="27" t="str">
        <x:v>Conditional</x:v>
      </x:c>
      <x:c r="G20" s="27" t="str">
        <x:v>Review definition and historical availability</x:v>
      </x:c>
      <x:c r="H20" s="39" t="n">
        <x:v>17051</x:v>
      </x:c>
      <x:c r="I20" s="42" t="n">
        <x:v>0.0005275498241500586</x:v>
      </x:c>
      <x:c r="J20" s="27" t="str">
        <x:v>2004-08-01 | 2005-02-21 | 2003-06-04 | 2006-07-10</x:v>
      </x:c>
    </x:row>
    <x:row r="21" ht="27" customHeight="1">
      <x:c r="A21" s="36" t="n">
        <x:v>17</x:v>
      </x:c>
      <x:c r="B21" s="27" t="str">
        <x:v>age_at_transfer</x:v>
      </x:c>
      <x:c r="C21" s="27" t="str">
        <x:v>Player attributes</x:v>
      </x:c>
      <x:c r="D21" s="27" t="str">
        <x:v>float64</x:v>
      </x:c>
      <x:c r="E21" s="27" t="str">
        <x:v>Player age in years on the transfer date, derived from date of birth.</x:v>
      </x:c>
      <x:c r="F21" s="27" t="str">
        <x:v>Feature</x:v>
      </x:c>
      <x:c r="G21" s="27" t="str">
        <x:v>Stable or evaluated at transfer date</x:v>
      </x:c>
      <x:c r="H21" s="39" t="n">
        <x:v>17051</x:v>
      </x:c>
      <x:c r="I21" s="42" t="n">
        <x:v>0.0005275498241500586</x:v>
      </x:c>
      <x:c r="J21" s="27" t="str">
        <x:v>13.914043409515596 | 13.35551038008994 | 15.074915980478723 | 11.975605248567732</x:v>
      </x:c>
    </x:row>
    <x:row r="22" ht="27" customHeight="1">
      <x:c r="A22" s="36" t="n">
        <x:v>18</x:v>
      </x:c>
      <x:c r="B22" s="27" t="str">
        <x:v>position</x:v>
      </x:c>
      <x:c r="C22" s="27" t="str">
        <x:v>Player attributes</x:v>
      </x:c>
      <x:c r="D22" s="27" t="str">
        <x:v>str</x:v>
      </x:c>
      <x:c r="E22" s="27" t="str">
        <x:v>Source or derived cohort field: position.</x:v>
      </x:c>
      <x:c r="F22" s="27" t="str">
        <x:v>Feature</x:v>
      </x:c>
      <x:c r="G22" s="27" t="str">
        <x:v>Stable or evaluated at transfer date</x:v>
      </x:c>
      <x:c r="H22" s="39" t="n">
        <x:v>17060</x:v>
      </x:c>
      <x:c r="I22" s="42" t="n">
        <x:v>0</x:v>
      </x:c>
      <x:c r="J22" s="27" t="str">
        <x:v>Defender | Attack | Midfield | Goalkeeper</x:v>
      </x:c>
    </x:row>
    <x:row r="23" ht="27" customHeight="1">
      <x:c r="A23" s="36" t="n">
        <x:v>19</x:v>
      </x:c>
      <x:c r="B23" s="27" t="str">
        <x:v>sub_position</x:v>
      </x:c>
      <x:c r="C23" s="27" t="str">
        <x:v>Player attributes</x:v>
      </x:c>
      <x:c r="D23" s="27" t="str">
        <x:v>str</x:v>
      </x:c>
      <x:c r="E23" s="27" t="str">
        <x:v>Source or derived cohort field: sub position.</x:v>
      </x:c>
      <x:c r="F23" s="27" t="str">
        <x:v>Feature</x:v>
      </x:c>
      <x:c r="G23" s="27" t="str">
        <x:v>Stable or evaluated at transfer date</x:v>
      </x:c>
      <x:c r="H23" s="39" t="n">
        <x:v>17060</x:v>
      </x:c>
      <x:c r="I23" s="42" t="n">
        <x:v>0</x:v>
      </x:c>
      <x:c r="J23" s="27" t="str">
        <x:v>Left-Back | Centre-Back | Left Winger | Right Midfield</x:v>
      </x:c>
    </x:row>
    <x:row r="24" ht="27" customHeight="1">
      <x:c r="A24" s="36" t="n">
        <x:v>20</x:v>
      </x:c>
      <x:c r="B24" s="27" t="str">
        <x:v>foot</x:v>
      </x:c>
      <x:c r="C24" s="27" t="str">
        <x:v>Player attributes</x:v>
      </x:c>
      <x:c r="D24" s="27" t="str">
        <x:v>str</x:v>
      </x:c>
      <x:c r="E24" s="27" t="str">
        <x:v>Source or derived cohort field: foot.</x:v>
      </x:c>
      <x:c r="F24" s="27" t="str">
        <x:v>Feature</x:v>
      </x:c>
      <x:c r="G24" s="27" t="str">
        <x:v>Stable or evaluated at transfer date</x:v>
      </x:c>
      <x:c r="H24" s="39" t="n">
        <x:v>17060</x:v>
      </x:c>
      <x:c r="I24" s="42" t="n">
        <x:v>0</x:v>
      </x:c>
      <x:c r="J24" s="27" t="str">
        <x:v>left | right |  | both</x:v>
      </x:c>
    </x:row>
    <x:row r="25" ht="27" customHeight="1">
      <x:c r="A25" s="36" t="n">
        <x:v>21</x:v>
      </x:c>
      <x:c r="B25" s="27" t="str">
        <x:v>height_in_cm</x:v>
      </x:c>
      <x:c r="C25" s="27" t="str">
        <x:v>Player attributes</x:v>
      </x:c>
      <x:c r="D25" s="27" t="str">
        <x:v>str</x:v>
      </x:c>
      <x:c r="E25" s="27" t="str">
        <x:v>Source or derived cohort field: height in cm.</x:v>
      </x:c>
      <x:c r="F25" s="27" t="str">
        <x:v>Feature</x:v>
      </x:c>
      <x:c r="G25" s="27" t="str">
        <x:v>Stable or evaluated at transfer date</x:v>
      </x:c>
      <x:c r="H25" s="39" t="n">
        <x:v>17060</x:v>
      </x:c>
      <x:c r="I25" s="42" t="n">
        <x:v>0</x:v>
      </x:c>
      <x:c r="J25" s="27" t="str">
        <x:v> | 188 | 185 | 179</x:v>
      </x:c>
    </x:row>
    <x:row r="26" ht="27" customHeight="1">
      <x:c r="A26" s="36" t="n">
        <x:v>22</x:v>
      </x:c>
      <x:c r="B26" s="27" t="str">
        <x:v>country_of_citizenship</x:v>
      </x:c>
      <x:c r="C26" s="27" t="str">
        <x:v>Player attributes</x:v>
      </x:c>
      <x:c r="D26" s="27" t="str">
        <x:v>str</x:v>
      </x:c>
      <x:c r="E26" s="27" t="str">
        <x:v>Source or derived cohort field: country of citizenship.</x:v>
      </x:c>
      <x:c r="F26" s="27" t="str">
        <x:v>Feature</x:v>
      </x:c>
      <x:c r="G26" s="27" t="str">
        <x:v>Stable or evaluated at transfer date</x:v>
      </x:c>
      <x:c r="H26" s="39" t="n">
        <x:v>17060</x:v>
      </x:c>
      <x:c r="I26" s="42" t="n">
        <x:v>0</x:v>
      </x:c>
      <x:c r="J26" s="27" t="str">
        <x:v>Spain | France | Portugal | Germany</x:v>
      </x:c>
    </x:row>
    <x:row r="27" ht="27" customHeight="1">
      <x:c r="A27" s="36" t="n">
        <x:v>23</x:v>
      </x:c>
      <x:c r="B27" s="27" t="str">
        <x:v>age_plausible_15_to_45</x:v>
      </x:c>
      <x:c r="C27" s="27" t="str">
        <x:v>Eligibility and quality</x:v>
      </x:c>
      <x:c r="D27" s="27" t="str">
        <x:v>bool</x:v>
      </x:c>
      <x:c r="E27" s="27" t="str">
        <x:v>Boolean data-availability, coverage, or quality flag described by the field name.</x:v>
      </x:c>
      <x:c r="F27" s="27" t="str">
        <x:v>Filter/diagnostic</x:v>
      </x:c>
      <x:c r="G27" s="27" t="str">
        <x:v>Defines sample membership; not a substantive predictor</x:v>
      </x:c>
      <x:c r="H27" s="39" t="n">
        <x:v>17060</x:v>
      </x:c>
      <x:c r="I27" s="42" t="n">
        <x:v>0</x:v>
      </x:c>
      <x:c r="J27" s="27" t="str">
        <x:v>False | True</x:v>
      </x:c>
    </x:row>
    <x:row r="28" ht="27" customHeight="1">
      <x:c r="A28" s="36" t="n">
        <x:v>24</x:v>
      </x:c>
      <x:c r="B28" s="27" t="str">
        <x:v>player_in_dimension</x:v>
      </x:c>
      <x:c r="C28" s="27" t="str">
        <x:v>Source/context</x:v>
      </x:c>
      <x:c r="D28" s="27" t="str">
        <x:v>bool</x:v>
      </x:c>
      <x:c r="E28" s="27" t="str">
        <x:v>Source or derived cohort field: player in dimension.</x:v>
      </x:c>
      <x:c r="F28" s="27" t="str">
        <x:v>Conditional</x:v>
      </x:c>
      <x:c r="G28" s="27" t="str">
        <x:v>Review definition and historical availability</x:v>
      </x:c>
      <x:c r="H28" s="39" t="n">
        <x:v>17060</x:v>
      </x:c>
      <x:c r="I28" s="42" t="n">
        <x:v>0</x:v>
      </x:c>
      <x:c r="J28" s="27" t="str">
        <x:v>True</x:v>
      </x:c>
    </x:row>
    <x:row r="29" ht="27" customHeight="1">
      <x:c r="A29" s="36" t="n">
        <x:v>25</x:v>
      </x:c>
      <x:c r="B29" s="27" t="str">
        <x:v>preseason_season</x:v>
      </x:c>
      <x:c r="C29" s="27" t="str">
        <x:v>Pre-transfer features</x:v>
      </x:c>
      <x:c r="D29" s="27" t="str">
        <x:v>str</x:v>
      </x:c>
      <x:c r="E29" s="27" t="str">
        <x:v>Latest fully completed pre-transfer season feature: season.</x:v>
      </x:c>
      <x:c r="F29" s="27" t="str">
        <x:v>Feature</x:v>
      </x:c>
      <x:c r="G29" s="27" t="str">
        <x:v>Must be dated before transfer_date</x:v>
      </x:c>
      <x:c r="H29" s="39" t="n">
        <x:v>1890</x:v>
      </x:c>
      <x:c r="I29" s="42" t="n">
        <x:v>0.8892145369284877</x:v>
      </x:c>
      <x:c r="J29" s="27" t="str">
        <x:v>2017-2018 | 2018-2019 | 2019-2020 | 2020-2021</x:v>
      </x:c>
    </x:row>
    <x:row r="30" ht="27" customHeight="1">
      <x:c r="A30" s="36" t="n">
        <x:v>26</x:v>
      </x:c>
      <x:c r="B30" s="27" t="str">
        <x:v>preseason_end_date</x:v>
      </x:c>
      <x:c r="C30" s="27" t="str">
        <x:v>Pre-transfer features</x:v>
      </x:c>
      <x:c r="D30" s="27" t="str">
        <x:v>datetime64[us]</x:v>
      </x:c>
      <x:c r="E30" s="27" t="str">
        <x:v>Latest fully completed pre-transfer season feature: end date.</x:v>
      </x:c>
      <x:c r="F30" s="27" t="str">
        <x:v>Feature</x:v>
      </x:c>
      <x:c r="G30" s="27" t="str">
        <x:v>Must be dated before transfer_date</x:v>
      </x:c>
      <x:c r="H30" s="39" t="n">
        <x:v>1890</x:v>
      </x:c>
      <x:c r="I30" s="42" t="n">
        <x:v>0.8892145369284877</x:v>
      </x:c>
      <x:c r="J30" s="27" t="str">
        <x:v>2018-06-30 | 2019-06-30 | 2020-06-30 | 2021-06-30</x:v>
      </x:c>
    </x:row>
    <x:row r="31" ht="27" customHeight="1">
      <x:c r="A31" s="36" t="n">
        <x:v>27</x:v>
      </x:c>
      <x:c r="B31" s="27" t="str">
        <x:v>preseason_squads</x:v>
      </x:c>
      <x:c r="C31" s="27" t="str">
        <x:v>Pre-transfer features</x:v>
      </x:c>
      <x:c r="D31" s="27" t="str">
        <x:v>str</x:v>
      </x:c>
      <x:c r="E31" s="27" t="str">
        <x:v>Latest fully completed pre-transfer season feature: squads.</x:v>
      </x:c>
      <x:c r="F31" s="27" t="str">
        <x:v>Feature</x:v>
      </x:c>
      <x:c r="G31" s="27" t="str">
        <x:v>Must be dated before transfer_date</x:v>
      </x:c>
      <x:c r="H31" s="39" t="n">
        <x:v>1890</x:v>
      </x:c>
      <x:c r="I31" s="42" t="n">
        <x:v>0.8892145369284877</x:v>
      </x:c>
      <x:c r="J31" s="27" t="str">
        <x:v>Hoffenheim | Fiorentina | Sassuolo | Barcelona | Watford | Bologna</x:v>
      </x:c>
    </x:row>
    <x:row r="32" ht="27" customHeight="1">
      <x:c r="A32" s="36" t="n">
        <x:v>28</x:v>
      </x:c>
      <x:c r="B32" s="27" t="str">
        <x:v>preseason_competitions</x:v>
      </x:c>
      <x:c r="C32" s="27" t="str">
        <x:v>Pre-transfer features</x:v>
      </x:c>
      <x:c r="D32" s="27" t="str">
        <x:v>str</x:v>
      </x:c>
      <x:c r="E32" s="27" t="str">
        <x:v>Latest fully completed pre-transfer season feature: competitions.</x:v>
      </x:c>
      <x:c r="F32" s="27" t="str">
        <x:v>Feature</x:v>
      </x:c>
      <x:c r="G32" s="27" t="str">
        <x:v>Must be dated before transfer_date</x:v>
      </x:c>
      <x:c r="H32" s="39" t="n">
        <x:v>1890</x:v>
      </x:c>
      <x:c r="I32" s="42" t="n">
        <x:v>0.8892145369284877</x:v>
      </x:c>
      <x:c r="J32" s="27" t="str">
        <x:v>Bundesliga | Serie A | La Liga | Premier League | Premier League</x:v>
      </x:c>
    </x:row>
    <x:row r="33" ht="27" customHeight="1">
      <x:c r="A33" s="36" t="n">
        <x:v>29</x:v>
      </x:c>
      <x:c r="B33" s="27" t="str">
        <x:v>preseason_positions</x:v>
      </x:c>
      <x:c r="C33" s="27" t="str">
        <x:v>Pre-transfer features</x:v>
      </x:c>
      <x:c r="D33" s="27" t="str">
        <x:v>str</x:v>
      </x:c>
      <x:c r="E33" s="27" t="str">
        <x:v>Latest fully completed pre-transfer season feature: positions.</x:v>
      </x:c>
      <x:c r="F33" s="27" t="str">
        <x:v>Feature</x:v>
      </x:c>
      <x:c r="G33" s="27" t="str">
        <x:v>Must be dated before transfer_date</x:v>
      </x:c>
      <x:c r="H33" s="39" t="n">
        <x:v>1890</x:v>
      </x:c>
      <x:c r="I33" s="42" t="n">
        <x:v>0.8892145369284877</x:v>
      </x:c>
      <x:c r="J33" s="27" t="str">
        <x:v>FW | FW | MF | DF | GK</x:v>
      </x:c>
    </x:row>
    <x:row r="34" ht="27" customHeight="1">
      <x:c r="A34" s="36" t="n">
        <x:v>30</x:v>
      </x:c>
      <x:c r="B34" s="27" t="str">
        <x:v>preseason_total_minutes</x:v>
      </x:c>
      <x:c r="C34" s="27" t="str">
        <x:v>Pre-transfer features</x:v>
      </x:c>
      <x:c r="D34" s="27" t="str">
        <x:v>float64</x:v>
      </x:c>
      <x:c r="E34" s="27" t="str">
        <x:v>Latest fully completed pre-transfer season feature: total minutes.</x:v>
      </x:c>
      <x:c r="F34" s="27" t="str">
        <x:v>Feature</x:v>
      </x:c>
      <x:c r="G34" s="27" t="str">
        <x:v>Must be dated before transfer_date</x:v>
      </x:c>
      <x:c r="H34" s="39" t="n">
        <x:v>1890</x:v>
      </x:c>
      <x:c r="I34" s="42" t="n">
        <x:v>0.8892145369284877</x:v>
      </x:c>
      <x:c r="J34" s="27" t="str">
        <x:v>2177.0 | 1198.0 | 938.0 | 2827.0</x:v>
      </x:c>
    </x:row>
    <x:row r="35" ht="27" customHeight="1">
      <x:c r="A35" s="36" t="n">
        <x:v>31</x:v>
      </x:c>
      <x:c r="B35" s="27" t="str">
        <x:v>preseason_matches_played</x:v>
      </x:c>
      <x:c r="C35" s="27" t="str">
        <x:v>Pre-transfer features</x:v>
      </x:c>
      <x:c r="D35" s="27" t="str">
        <x:v>float64</x:v>
      </x:c>
      <x:c r="E35" s="27" t="str">
        <x:v>Latest fully completed pre-transfer season feature: matches played.</x:v>
      </x:c>
      <x:c r="F35" s="27" t="str">
        <x:v>Feature</x:v>
      </x:c>
      <x:c r="G35" s="27" t="str">
        <x:v>Must be dated before transfer_date</x:v>
      </x:c>
      <x:c r="H35" s="39" t="n">
        <x:v>1890</x:v>
      </x:c>
      <x:c r="I35" s="42" t="n">
        <x:v>0.8892145369284877</x:v>
      </x:c>
      <x:c r="J35" s="27" t="str">
        <x:v>31.0 | 29.0 | 17.0 | 34.0</x:v>
      </x:c>
    </x:row>
    <x:row r="36" ht="27" customHeight="1">
      <x:c r="A36" s="36" t="n">
        <x:v>32</x:v>
      </x:c>
      <x:c r="B36" s="27" t="str">
        <x:v>preseason_goals</x:v>
      </x:c>
      <x:c r="C36" s="27" t="str">
        <x:v>Pre-transfer features</x:v>
      </x:c>
      <x:c r="D36" s="27" t="str">
        <x:v>float64</x:v>
      </x:c>
      <x:c r="E36" s="27" t="str">
        <x:v>Latest fully completed pre-transfer season feature: goals.</x:v>
      </x:c>
      <x:c r="F36" s="27" t="str">
        <x:v>Feature</x:v>
      </x:c>
      <x:c r="G36" s="27" t="str">
        <x:v>Must be dated before transfer_date</x:v>
      </x:c>
      <x:c r="H36" s="39" t="n">
        <x:v>1890</x:v>
      </x:c>
      <x:c r="I36" s="42" t="n">
        <x:v>0.8892145369284877</x:v>
      </x:c>
      <x:c r="J36" s="27" t="str">
        <x:v>14.0 | 6.0 | 2.0 | 10.0</x:v>
      </x:c>
    </x:row>
    <x:row r="37" ht="27" customHeight="1">
      <x:c r="A37" s="36" t="n">
        <x:v>33</x:v>
      </x:c>
      <x:c r="B37" s="27" t="str">
        <x:v>preseason_assists</x:v>
      </x:c>
      <x:c r="C37" s="27" t="str">
        <x:v>Pre-transfer features</x:v>
      </x:c>
      <x:c r="D37" s="27" t="str">
        <x:v>float64</x:v>
      </x:c>
      <x:c r="E37" s="27" t="str">
        <x:v>Latest fully completed pre-transfer season feature: assists.</x:v>
      </x:c>
      <x:c r="F37" s="27" t="str">
        <x:v>Feature</x:v>
      </x:c>
      <x:c r="G37" s="27" t="str">
        <x:v>Must be dated before transfer_date</x:v>
      </x:c>
      <x:c r="H37" s="39" t="n">
        <x:v>1890</x:v>
      </x:c>
      <x:c r="I37" s="42" t="n">
        <x:v>0.8892145369284877</x:v>
      </x:c>
      <x:c r="J37" s="27" t="str">
        <x:v>8.0 | 2.0 | 1.0 | 0.0</x:v>
      </x:c>
    </x:row>
    <x:row r="38" ht="27" customHeight="1">
      <x:c r="A38" s="36" t="n">
        <x:v>34</x:v>
      </x:c>
      <x:c r="B38" s="27" t="str">
        <x:v>preseason_expected_goals</x:v>
      </x:c>
      <x:c r="C38" s="27" t="str">
        <x:v>Pre-transfer features</x:v>
      </x:c>
      <x:c r="D38" s="27" t="str">
        <x:v>float64</x:v>
      </x:c>
      <x:c r="E38" s="27" t="str">
        <x:v>Latest fully completed pre-transfer season feature: expected goals.</x:v>
      </x:c>
      <x:c r="F38" s="27" t="str">
        <x:v>Feature</x:v>
      </x:c>
      <x:c r="G38" s="27" t="str">
        <x:v>Must be dated before transfer_date</x:v>
      </x:c>
      <x:c r="H38" s="39" t="n">
        <x:v>1890</x:v>
      </x:c>
      <x:c r="I38" s="42" t="n">
        <x:v>0.8892145369284877</x:v>
      </x:c>
      <x:c r="J38" s="27" t="str">
        <x:v>9.3 | 7.4 | 1.7 | 7.8</x:v>
      </x:c>
    </x:row>
    <x:row r="39" ht="27" customHeight="1">
      <x:c r="A39" s="36" t="n">
        <x:v>35</x:v>
      </x:c>
      <x:c r="B39" s="27" t="str">
        <x:v>preseason_exp_npg</x:v>
      </x:c>
      <x:c r="C39" s="27" t="str">
        <x:v>Pre-transfer features</x:v>
      </x:c>
      <x:c r="D39" s="27" t="str">
        <x:v>float64</x:v>
      </x:c>
      <x:c r="E39" s="27" t="str">
        <x:v>Latest fully completed pre-transfer season feature: exp npg.</x:v>
      </x:c>
      <x:c r="F39" s="27" t="str">
        <x:v>Feature</x:v>
      </x:c>
      <x:c r="G39" s="27" t="str">
        <x:v>Must be dated before transfer_date</x:v>
      </x:c>
      <x:c r="H39" s="39" t="n">
        <x:v>1890</x:v>
      </x:c>
      <x:c r="I39" s="42" t="n">
        <x:v>0.8892145369284877</x:v>
      </x:c>
      <x:c r="J39" s="27" t="str">
        <x:v>9.1 | 5.1 | 1.7 | 6.3</x:v>
      </x:c>
    </x:row>
    <x:row r="40" ht="27" customHeight="1">
      <x:c r="A40" s="36" t="n">
        <x:v>36</x:v>
      </x:c>
      <x:c r="B40" s="27" t="str">
        <x:v>pre365_appearances</x:v>
      </x:c>
      <x:c r="C40" s="27" t="str">
        <x:v>Pre-transfer features</x:v>
      </x:c>
      <x:c r="D40" s="27" t="str">
        <x:v>float64</x:v>
      </x:c>
      <x:c r="E40" s="27" t="str">
        <x:v>Player performance during days -365 through -1 relative to transfer: appearances.</x:v>
      </x:c>
      <x:c r="F40" s="27" t="str">
        <x:v>Feature</x:v>
      </x:c>
      <x:c r="G40" s="27" t="str">
        <x:v>Must be dated before transfer_date</x:v>
      </x:c>
      <x:c r="H40" s="39" t="n">
        <x:v>17060</x:v>
      </x:c>
      <x:c r="I40" s="42" t="n">
        <x:v>0</x:v>
      </x:c>
      <x:c r="J40" s="27" t="str">
        <x:v>0.0 | 24.0 | 38.0 | 29.0</x:v>
      </x:c>
    </x:row>
    <x:row r="41" ht="27" customHeight="1">
      <x:c r="A41" s="36" t="n">
        <x:v>37</x:v>
      </x:c>
      <x:c r="B41" s="27" t="str">
        <x:v>pre365_minutes</x:v>
      </x:c>
      <x:c r="C41" s="27" t="str">
        <x:v>Pre-transfer features</x:v>
      </x:c>
      <x:c r="D41" s="27" t="str">
        <x:v>float64</x:v>
      </x:c>
      <x:c r="E41" s="27" t="str">
        <x:v>Player performance during days -365 through -1 relative to transfer: minutes.</x:v>
      </x:c>
      <x:c r="F41" s="27" t="str">
        <x:v>Feature</x:v>
      </x:c>
      <x:c r="G41" s="27" t="str">
        <x:v>Must be dated before transfer_date</x:v>
      </x:c>
      <x:c r="H41" s="39" t="n">
        <x:v>17060</x:v>
      </x:c>
      <x:c r="I41" s="42" t="n">
        <x:v>0</x:v>
      </x:c>
      <x:c r="J41" s="27" t="str">
        <x:v>0.0 | 1818.0 | 2568.0 | 2115.0</x:v>
      </x:c>
    </x:row>
    <x:row r="42" ht="27" customHeight="1">
      <x:c r="A42" s="36" t="n">
        <x:v>38</x:v>
      </x:c>
      <x:c r="B42" s="27" t="str">
        <x:v>pre365_goals</x:v>
      </x:c>
      <x:c r="C42" s="27" t="str">
        <x:v>Pre-transfer features</x:v>
      </x:c>
      <x:c r="D42" s="27" t="str">
        <x:v>float64</x:v>
      </x:c>
      <x:c r="E42" s="27" t="str">
        <x:v>Player performance during days -365 through -1 relative to transfer: goals.</x:v>
      </x:c>
      <x:c r="F42" s="27" t="str">
        <x:v>Feature</x:v>
      </x:c>
      <x:c r="G42" s="27" t="str">
        <x:v>Must be dated before transfer_date</x:v>
      </x:c>
      <x:c r="H42" s="39" t="n">
        <x:v>17060</x:v>
      </x:c>
      <x:c r="I42" s="42" t="n">
        <x:v>0</x:v>
      </x:c>
      <x:c r="J42" s="27" t="str">
        <x:v>0.0 | 1.0 | 17.0 | 2.0</x:v>
      </x:c>
    </x:row>
    <x:row r="43" ht="27" customHeight="1">
      <x:c r="A43" s="36" t="n">
        <x:v>39</x:v>
      </x:c>
      <x:c r="B43" s="27" t="str">
        <x:v>pre365_assists</x:v>
      </x:c>
      <x:c r="C43" s="27" t="str">
        <x:v>Pre-transfer features</x:v>
      </x:c>
      <x:c r="D43" s="27" t="str">
        <x:v>float64</x:v>
      </x:c>
      <x:c r="E43" s="27" t="str">
        <x:v>Player performance during days -365 through -1 relative to transfer: assists.</x:v>
      </x:c>
      <x:c r="F43" s="27" t="str">
        <x:v>Feature</x:v>
      </x:c>
      <x:c r="G43" s="27" t="str">
        <x:v>Must be dated before transfer_date</x:v>
      </x:c>
      <x:c r="H43" s="39" t="n">
        <x:v>17060</x:v>
      </x:c>
      <x:c r="I43" s="42" t="n">
        <x:v>0</x:v>
      </x:c>
      <x:c r="J43" s="27" t="str">
        <x:v>0.0 | 7.0 | 9.0 | 1.0</x:v>
      </x:c>
    </x:row>
    <x:row r="44" ht="27" customHeight="1">
      <x:c r="A44" s="36" t="n">
        <x:v>40</x:v>
      </x:c>
      <x:c r="B44" s="27" t="str">
        <x:v>pre_valuation_date</x:v>
      </x:c>
      <x:c r="C44" s="27" t="str">
        <x:v>Pre-transfer features</x:v>
      </x:c>
      <x:c r="D44" s="27" t="str">
        <x:v>datetime64[ns]</x:v>
      </x:c>
      <x:c r="E44" s="27" t="str">
        <x:v>Source or derived cohort field: pre valuation date.</x:v>
      </x:c>
      <x:c r="F44" s="27" t="str">
        <x:v>Feature</x:v>
      </x:c>
      <x:c r="G44" s="27" t="str">
        <x:v>Must be dated before transfer_date</x:v>
      </x:c>
      <x:c r="H44" s="39" t="n">
        <x:v>10871</x:v>
      </x:c>
      <x:c r="I44" s="42" t="n">
        <x:v>0.362778429073857</x:v>
      </x:c>
      <x:c r="J44" s="27" t="str">
        <x:v>2018-06-14 | 2018-06-06 | 2018-03-04 | 2018-04-26</x:v>
      </x:c>
    </x:row>
    <x:row r="45" ht="27" customHeight="1">
      <x:c r="A45" s="36" t="n">
        <x:v>41</x:v>
      </x:c>
      <x:c r="B45" s="27" t="str">
        <x:v>pre_valuation_asof_eur</x:v>
      </x:c>
      <x:c r="C45" s="27" t="str">
        <x:v>Pre-transfer features</x:v>
      </x:c>
      <x:c r="D45" s="27" t="str">
        <x:v>float64</x:v>
      </x:c>
      <x:c r="E45" s="27" t="str">
        <x:v>Latest player valuation on or before transfer_date.</x:v>
      </x:c>
      <x:c r="F45" s="27" t="str">
        <x:v>Feature</x:v>
      </x:c>
      <x:c r="G45" s="27" t="str">
        <x:v>Must be dated before transfer_date</x:v>
      </x:c>
      <x:c r="H45" s="39" t="n">
        <x:v>10871</x:v>
      </x:c>
      <x:c r="I45" s="42" t="n">
        <x:v>0.362778429073857</x:v>
      </x:c>
      <x:c r="J45" s="27" t="str">
        <x:v>3000000.0 | 500000.0 | 750000.0 | 350000.0</x:v>
      </x:c>
    </x:row>
    <x:row r="46" ht="27" customHeight="1">
      <x:c r="A46" s="36" t="n">
        <x:v>42</x:v>
      </x:c>
      <x:c r="B46" s="27" t="str">
        <x:v>pre_valuation_staleness_days</x:v>
      </x:c>
      <x:c r="C46" s="27" t="str">
        <x:v>Pre-transfer features</x:v>
      </x:c>
      <x:c r="D46" s="27" t="str">
        <x:v>float64</x:v>
      </x:c>
      <x:c r="E46" s="27" t="str">
        <x:v>Days between the pre-transfer as-of valuation and transfer_date.</x:v>
      </x:c>
      <x:c r="F46" s="27" t="str">
        <x:v>Feature</x:v>
      </x:c>
      <x:c r="G46" s="27" t="str">
        <x:v>Must be dated before transfer_date</x:v>
      </x:c>
      <x:c r="H46" s="39" t="n">
        <x:v>10871</x:v>
      </x:c>
      <x:c r="I46" s="42" t="n">
        <x:v>0.362778429073857</x:v>
      </x:c>
      <x:c r="J46" s="27" t="str">
        <x:v>17.0 | 25.0 | 119.0 | 66.0</x:v>
      </x:c>
    </x:row>
    <x:row r="47" ht="27" customHeight="1">
      <x:c r="A47" s="36" t="n">
        <x:v>43</x:v>
      </x:c>
      <x:c r="B47" s="27" t="str">
        <x:v>post12_target_date</x:v>
      </x:c>
      <x:c r="C47" s="27" t="str">
        <x:v>Outcome candidates</x:v>
      </x:c>
      <x:c r="D47" s="27" t="str">
        <x:v>datetime64[us]</x:v>
      </x:c>
      <x:c r="E47" s="27" t="str">
        <x:v>Twelve-month valuation field: target date.</x:v>
      </x:c>
      <x:c r="F47" s="27" t="str">
        <x:v>Target/diagnostic</x:v>
      </x:c>
      <x:c r="G47" s="27" t="str">
        <x:v>Post-transfer only; never use as a prediction feature</x:v>
      </x:c>
      <x:c r="H47" s="39" t="n">
        <x:v>17060</x:v>
      </x:c>
      <x:c r="I47" s="42" t="n">
        <x:v>0</x:v>
      </x:c>
      <x:c r="J47" s="27" t="str">
        <x:v>2019-07-01 | 2019-07-02 | 2019-07-03 | 2019-07-04</x:v>
      </x:c>
    </x:row>
    <x:row r="48" ht="27" customHeight="1">
      <x:c r="A48" s="36" t="n">
        <x:v>44</x:v>
      </x:c>
      <x:c r="B48" s="27" t="str">
        <x:v>post12_nearest_valuation_date</x:v>
      </x:c>
      <x:c r="C48" s="27" t="str">
        <x:v>Outcome candidates</x:v>
      </x:c>
      <x:c r="D48" s="27" t="str">
        <x:v>datetime64[ns]</x:v>
      </x:c>
      <x:c r="E48" s="27" t="str">
        <x:v>Twelve-month valuation field: nearest valuation date.</x:v>
      </x:c>
      <x:c r="F48" s="27" t="str">
        <x:v>Target/diagnostic</x:v>
      </x:c>
      <x:c r="G48" s="27" t="str">
        <x:v>Post-transfer only; never use as a prediction feature</x:v>
      </x:c>
      <x:c r="H48" s="39" t="n">
        <x:v>16025</x:v>
      </x:c>
      <x:c r="I48" s="42" t="n">
        <x:v>0.06066822977725674</x:v>
      </x:c>
      <x:c r="J48" s="27" t="str">
        <x:v>2023-09-11 | 2022-09-16 | 2024-09-27 | 2024-10-08</x:v>
      </x:c>
    </x:row>
    <x:row r="49" ht="27" customHeight="1">
      <x:c r="A49" s="36" t="n">
        <x:v>45</x:v>
      </x:c>
      <x:c r="B49" s="27" t="str">
        <x:v>post12_valuation_90d_eur</x:v>
      </x:c>
      <x:c r="C49" s="27" t="str">
        <x:v>Outcome candidates</x:v>
      </x:c>
      <x:c r="D49" s="27" t="str">
        <x:v>float64</x:v>
      </x:c>
      <x:c r="E49" s="27" t="str">
        <x:v>Twelve-month valuation field: valuation 90d eur.</x:v>
      </x:c>
      <x:c r="F49" s="27" t="str">
        <x:v>Target/diagnostic</x:v>
      </x:c>
      <x:c r="G49" s="27" t="str">
        <x:v>Post-transfer only; never use as a prediction feature</x:v>
      </x:c>
      <x:c r="H49" s="39" t="n">
        <x:v>10961</x:v>
      </x:c>
      <x:c r="I49" s="42" t="n">
        <x:v>0.3575029308323564</x:v>
      </x:c>
      <x:c r="J49" s="27" t="str">
        <x:v>1500000.0 | 900000.0 | 350000.0 | 12000000.0</x:v>
      </x:c>
    </x:row>
    <x:row r="50" ht="27" customHeight="1">
      <x:c r="A50" s="36" t="n">
        <x:v>46</x:v>
      </x:c>
      <x:c r="B50" s="27" t="str">
        <x:v>post12_valuation_gap_days</x:v>
      </x:c>
      <x:c r="C50" s="27" t="str">
        <x:v>Outcome candidates</x:v>
      </x:c>
      <x:c r="D50" s="27" t="str">
        <x:v>float64</x:v>
      </x:c>
      <x:c r="E50" s="27" t="str">
        <x:v>Twelve-month valuation field: valuation gap days.</x:v>
      </x:c>
      <x:c r="F50" s="27" t="str">
        <x:v>Target/diagnostic</x:v>
      </x:c>
      <x:c r="G50" s="27" t="str">
        <x:v>Post-transfer only; never use as a prediction feature</x:v>
      </x:c>
      <x:c r="H50" s="39" t="n">
        <x:v>16025</x:v>
      </x:c>
      <x:c r="I50" s="42" t="n">
        <x:v>0.06066822977725674</x:v>
      </x:c>
      <x:c r="J50" s="27" t="str">
        <x:v>1533.0 | 1173.0 | 1915.0 | 1926.0</x:v>
      </x:c>
    </x:row>
    <x:row r="51" ht="27" customHeight="1">
      <x:c r="A51" s="36" t="n">
        <x:v>47</x:v>
      </x:c>
      <x:c r="B51" s="27" t="str">
        <x:v>post24_target_date</x:v>
      </x:c>
      <x:c r="C51" s="27" t="str">
        <x:v>Outcome candidates</x:v>
      </x:c>
      <x:c r="D51" s="27" t="str">
        <x:v>datetime64[us]</x:v>
      </x:c>
      <x:c r="E51" s="27" t="str">
        <x:v>Twenty-four-month valuation field: target date.</x:v>
      </x:c>
      <x:c r="F51" s="27" t="str">
        <x:v>Target/diagnostic</x:v>
      </x:c>
      <x:c r="G51" s="27" t="str">
        <x:v>Post-transfer only; never use as a prediction feature</x:v>
      </x:c>
      <x:c r="H51" s="39" t="n">
        <x:v>17060</x:v>
      </x:c>
      <x:c r="I51" s="42" t="n">
        <x:v>0</x:v>
      </x:c>
      <x:c r="J51" s="27" t="str">
        <x:v>2020-07-01 | 2020-07-02 | 2020-07-03 | 2020-07-04</x:v>
      </x:c>
    </x:row>
    <x:row r="52" ht="27" customHeight="1">
      <x:c r="A52" s="36" t="n">
        <x:v>48</x:v>
      </x:c>
      <x:c r="B52" s="27" t="str">
        <x:v>post24_nearest_valuation_date</x:v>
      </x:c>
      <x:c r="C52" s="27" t="str">
        <x:v>Outcome candidates</x:v>
      </x:c>
      <x:c r="D52" s="27" t="str">
        <x:v>datetime64[ns]</x:v>
      </x:c>
      <x:c r="E52" s="27" t="str">
        <x:v>Twenty-four-month valuation field: nearest valuation date.</x:v>
      </x:c>
      <x:c r="F52" s="27" t="str">
        <x:v>Target/diagnostic</x:v>
      </x:c>
      <x:c r="G52" s="27" t="str">
        <x:v>Post-transfer only; never use as a prediction feature</x:v>
      </x:c>
      <x:c r="H52" s="39" t="n">
        <x:v>16025</x:v>
      </x:c>
      <x:c r="I52" s="42" t="n">
        <x:v>0.06066822977725674</x:v>
      </x:c>
      <x:c r="J52" s="27" t="str">
        <x:v>2023-09-11 | 2022-09-16 | 2024-09-27 | 2024-10-08</x:v>
      </x:c>
    </x:row>
    <x:row r="53" ht="27" customHeight="1">
      <x:c r="A53" s="36" t="n">
        <x:v>49</x:v>
      </x:c>
      <x:c r="B53" s="27" t="str">
        <x:v>post24_valuation_90d_eur</x:v>
      </x:c>
      <x:c r="C53" s="27" t="str">
        <x:v>Outcome candidates</x:v>
      </x:c>
      <x:c r="D53" s="27" t="str">
        <x:v>float64</x:v>
      </x:c>
      <x:c r="E53" s="27" t="str">
        <x:v>Twenty-four-month valuation field: valuation 90d eur.</x:v>
      </x:c>
      <x:c r="F53" s="27" t="str">
        <x:v>Target/diagnostic</x:v>
      </x:c>
      <x:c r="G53" s="27" t="str">
        <x:v>Post-transfer only; never use as a prediction feature</x:v>
      </x:c>
      <x:c r="H53" s="39" t="n">
        <x:v>10616</x:v>
      </x:c>
      <x:c r="I53" s="42" t="n">
        <x:v>0.377725674091442</x:v>
      </x:c>
      <x:c r="J53" s="27" t="str">
        <x:v>950000.0 | 1000000.0 | 325000.0 | 300000.0</x:v>
      </x:c>
    </x:row>
    <x:row r="54" ht="27" customHeight="1">
      <x:c r="A54" s="36" t="n">
        <x:v>50</x:v>
      </x:c>
      <x:c r="B54" s="27" t="str">
        <x:v>post24_valuation_gap_days</x:v>
      </x:c>
      <x:c r="C54" s="27" t="str">
        <x:v>Outcome candidates</x:v>
      </x:c>
      <x:c r="D54" s="27" t="str">
        <x:v>float64</x:v>
      </x:c>
      <x:c r="E54" s="27" t="str">
        <x:v>Twenty-four-month valuation field: valuation gap days.</x:v>
      </x:c>
      <x:c r="F54" s="27" t="str">
        <x:v>Target/diagnostic</x:v>
      </x:c>
      <x:c r="G54" s="27" t="str">
        <x:v>Post-transfer only; never use as a prediction feature</x:v>
      </x:c>
      <x:c r="H54" s="39" t="n">
        <x:v>16025</x:v>
      </x:c>
      <x:c r="I54" s="42" t="n">
        <x:v>0.06066822977725674</x:v>
      </x:c>
      <x:c r="J54" s="27" t="str">
        <x:v>1167.0 | 807.0 | 1549.0 | 1560.0</x:v>
      </x:c>
    </x:row>
    <x:row r="55" ht="27" customHeight="1">
      <x:c r="A55" s="36" t="n">
        <x:v>51</x:v>
      </x:c>
      <x:c r="B55" s="27" t="str">
        <x:v>post12_dest_appearances</x:v>
      </x:c>
      <x:c r="C55" s="27" t="str">
        <x:v>Outcome candidates</x:v>
      </x:c>
      <x:c r="D55" s="27" t="str">
        <x:v>float64</x:v>
      </x:c>
      <x:c r="E55" s="27" t="str">
        <x:v>Destination-club player outcome during months 0-12 after transfer: appearances.</x:v>
      </x:c>
      <x:c r="F55" s="27" t="str">
        <x:v>Target/diagnostic</x:v>
      </x:c>
      <x:c r="G55" s="27" t="str">
        <x:v>Post-transfer only; never use as a prediction feature</x:v>
      </x:c>
      <x:c r="H55" s="39" t="n">
        <x:v>17060</x:v>
      </x:c>
      <x:c r="I55" s="42" t="n">
        <x:v>0</x:v>
      </x:c>
      <x:c r="J55" s="27" t="str">
        <x:v>0.0 | 1.0 | 3.0 | 29.0</x:v>
      </x:c>
    </x:row>
    <x:row r="56" ht="27" customHeight="1">
      <x:c r="A56" s="36" t="n">
        <x:v>52</x:v>
      </x:c>
      <x:c r="B56" s="27" t="str">
        <x:v>post12_dest_minutes</x:v>
      </x:c>
      <x:c r="C56" s="27" t="str">
        <x:v>Outcome candidates</x:v>
      </x:c>
      <x:c r="D56" s="27" t="str">
        <x:v>float64</x:v>
      </x:c>
      <x:c r="E56" s="27" t="str">
        <x:v>Destination-club player outcome during months 0-12 after transfer: minutes.</x:v>
      </x:c>
      <x:c r="F56" s="27" t="str">
        <x:v>Target/diagnostic</x:v>
      </x:c>
      <x:c r="G56" s="27" t="str">
        <x:v>Post-transfer only; never use as a prediction feature</x:v>
      </x:c>
      <x:c r="H56" s="39" t="n">
        <x:v>17060</x:v>
      </x:c>
      <x:c r="I56" s="42" t="n">
        <x:v>0</x:v>
      </x:c>
      <x:c r="J56" s="27" t="str">
        <x:v>0.0 | 90.0 | 234.0 | 2114.0</x:v>
      </x:c>
    </x:row>
    <x:row r="57" ht="27" customHeight="1">
      <x:c r="A57" s="36" t="n">
        <x:v>53</x:v>
      </x:c>
      <x:c r="B57" s="27" t="str">
        <x:v>post12_dest_goals</x:v>
      </x:c>
      <x:c r="C57" s="27" t="str">
        <x:v>Outcome candidates</x:v>
      </x:c>
      <x:c r="D57" s="27" t="str">
        <x:v>float64</x:v>
      </x:c>
      <x:c r="E57" s="27" t="str">
        <x:v>Destination-club player outcome during months 0-12 after transfer: goals.</x:v>
      </x:c>
      <x:c r="F57" s="27" t="str">
        <x:v>Target/diagnostic</x:v>
      </x:c>
      <x:c r="G57" s="27" t="str">
        <x:v>Post-transfer only; never use as a prediction feature</x:v>
      </x:c>
      <x:c r="H57" s="39" t="n">
        <x:v>17060</x:v>
      </x:c>
      <x:c r="I57" s="42" t="n">
        <x:v>0</x:v>
      </x:c>
      <x:c r="J57" s="27" t="str">
        <x:v>0.0 | 4.0 | 5.0 | 3.0</x:v>
      </x:c>
    </x:row>
    <x:row r="58" ht="27" customHeight="1">
      <x:c r="A58" s="36" t="n">
        <x:v>54</x:v>
      </x:c>
      <x:c r="B58" s="27" t="str">
        <x:v>post12_dest_assists</x:v>
      </x:c>
      <x:c r="C58" s="27" t="str">
        <x:v>Outcome candidates</x:v>
      </x:c>
      <x:c r="D58" s="27" t="str">
        <x:v>float64</x:v>
      </x:c>
      <x:c r="E58" s="27" t="str">
        <x:v>Destination-club player outcome during months 0-12 after transfer: assists.</x:v>
      </x:c>
      <x:c r="F58" s="27" t="str">
        <x:v>Target/diagnostic</x:v>
      </x:c>
      <x:c r="G58" s="27" t="str">
        <x:v>Post-transfer only; never use as a prediction feature</x:v>
      </x:c>
      <x:c r="H58" s="39" t="n">
        <x:v>17060</x:v>
      </x:c>
      <x:c r="I58" s="42" t="n">
        <x:v>0</x:v>
      </x:c>
      <x:c r="J58" s="27" t="str">
        <x:v>0.0 | 3.0 | 1.0 | 2.0</x:v>
      </x:c>
    </x:row>
    <x:row r="59" ht="27" customHeight="1">
      <x:c r="A59" s="36" t="n">
        <x:v>55</x:v>
      </x:c>
      <x:c r="B59" s="27" t="str">
        <x:v>post24_dest_appearances</x:v>
      </x:c>
      <x:c r="C59" s="27" t="str">
        <x:v>Outcome candidates</x:v>
      </x:c>
      <x:c r="D59" s="27" t="str">
        <x:v>float64</x:v>
      </x:c>
      <x:c r="E59" s="27" t="str">
        <x:v>Destination-club player outcome during months 0-24 after transfer: appearances.</x:v>
      </x:c>
      <x:c r="F59" s="27" t="str">
        <x:v>Target/diagnostic</x:v>
      </x:c>
      <x:c r="G59" s="27" t="str">
        <x:v>Post-transfer only; never use as a prediction feature</x:v>
      </x:c>
      <x:c r="H59" s="39" t="n">
        <x:v>17060</x:v>
      </x:c>
      <x:c r="I59" s="42" t="n">
        <x:v>0</x:v>
      </x:c>
      <x:c r="J59" s="27" t="str">
        <x:v>0.0 | 1.0 | 3.0 | 38.0</x:v>
      </x:c>
    </x:row>
    <x:row r="60" ht="27" customHeight="1">
      <x:c r="A60" s="36" t="n">
        <x:v>56</x:v>
      </x:c>
      <x:c r="B60" s="27" t="str">
        <x:v>post24_dest_minutes</x:v>
      </x:c>
      <x:c r="C60" s="27" t="str">
        <x:v>Outcome candidates</x:v>
      </x:c>
      <x:c r="D60" s="27" t="str">
        <x:v>float64</x:v>
      </x:c>
      <x:c r="E60" s="27" t="str">
        <x:v>Destination-club player outcome during months 0-24 after transfer: minutes.</x:v>
      </x:c>
      <x:c r="F60" s="27" t="str">
        <x:v>Target/diagnostic</x:v>
      </x:c>
      <x:c r="G60" s="27" t="str">
        <x:v>Post-transfer only; never use as a prediction feature</x:v>
      </x:c>
      <x:c r="H60" s="39" t="n">
        <x:v>17060</x:v>
      </x:c>
      <x:c r="I60" s="42" t="n">
        <x:v>0</x:v>
      </x:c>
      <x:c r="J60" s="27" t="str">
        <x:v>0.0 | 90.0 | 234.0 | 2555.0</x:v>
      </x:c>
    </x:row>
    <x:row r="61" ht="27" customHeight="1">
      <x:c r="A61" s="36" t="n">
        <x:v>57</x:v>
      </x:c>
      <x:c r="B61" s="27" t="str">
        <x:v>post24_dest_goals</x:v>
      </x:c>
      <x:c r="C61" s="27" t="str">
        <x:v>Outcome candidates</x:v>
      </x:c>
      <x:c r="D61" s="27" t="str">
        <x:v>float64</x:v>
      </x:c>
      <x:c r="E61" s="27" t="str">
        <x:v>Destination-club player outcome during months 0-24 after transfer: goals.</x:v>
      </x:c>
      <x:c r="F61" s="27" t="str">
        <x:v>Target/diagnostic</x:v>
      </x:c>
      <x:c r="G61" s="27" t="str">
        <x:v>Post-transfer only; never use as a prediction feature</x:v>
      </x:c>
      <x:c r="H61" s="39" t="n">
        <x:v>17060</x:v>
      </x:c>
      <x:c r="I61" s="42" t="n">
        <x:v>0</x:v>
      </x:c>
      <x:c r="J61" s="27" t="str">
        <x:v>0.0 | 4.0 | 5.0 | 3.0</x:v>
      </x:c>
    </x:row>
    <x:row r="62" ht="27" customHeight="1">
      <x:c r="A62" s="36" t="n">
        <x:v>58</x:v>
      </x:c>
      <x:c r="B62" s="27" t="str">
        <x:v>post24_dest_assists</x:v>
      </x:c>
      <x:c r="C62" s="27" t="str">
        <x:v>Outcome candidates</x:v>
      </x:c>
      <x:c r="D62" s="27" t="str">
        <x:v>float64</x:v>
      </x:c>
      <x:c r="E62" s="27" t="str">
        <x:v>Destination-club player outcome during months 0-24 after transfer: assists.</x:v>
      </x:c>
      <x:c r="F62" s="27" t="str">
        <x:v>Target/diagnostic</x:v>
      </x:c>
      <x:c r="G62" s="27" t="str">
        <x:v>Post-transfer only; never use as a prediction feature</x:v>
      </x:c>
      <x:c r="H62" s="39" t="n">
        <x:v>17060</x:v>
      </x:c>
      <x:c r="I62" s="42" t="n">
        <x:v>0</x:v>
      </x:c>
      <x:c r="J62" s="27" t="str">
        <x:v>0.0 | 5.0 | 1.0 | 4.0</x:v>
      </x:c>
    </x:row>
    <x:row r="63" ht="27" customHeight="1">
      <x:c r="A63" s="36" t="n">
        <x:v>59</x:v>
      </x:c>
      <x:c r="B63" s="27" t="str">
        <x:v>destination_games_12m</x:v>
      </x:c>
      <x:c r="C63" s="27" t="str">
        <x:v>Source/context</x:v>
      </x:c>
      <x:c r="D63" s="27" t="str">
        <x:v>float64</x:v>
      </x:c>
      <x:c r="E63" s="27" t="str">
        <x:v>Recorded destination-club games in the first 12 months after transfer.</x:v>
      </x:c>
      <x:c r="F63" s="27" t="str">
        <x:v>Conditional</x:v>
      </x:c>
      <x:c r="G63" s="27" t="str">
        <x:v>Review definition and historical availability</x:v>
      </x:c>
      <x:c r="H63" s="39" t="n">
        <x:v>17060</x:v>
      </x:c>
      <x:c r="I63" s="42" t="n">
        <x:v>0</x:v>
      </x:c>
      <x:c r="J63" s="27" t="str">
        <x:v>0.0 | 1.0 | 3.0 | 35.0</x:v>
      </x:c>
    </x:row>
    <x:row r="64" ht="27" customHeight="1">
      <x:c r="A64" s="36" t="n">
        <x:v>60</x:v>
      </x:c>
      <x:c r="B64" s="27" t="str">
        <x:v>destination_games_24m</x:v>
      </x:c>
      <x:c r="C64" s="27" t="str">
        <x:v>Source/context</x:v>
      </x:c>
      <x:c r="D64" s="27" t="str">
        <x:v>float64</x:v>
      </x:c>
      <x:c r="E64" s="27" t="str">
        <x:v>Recorded destination-club games in the first 24 months after transfer.</x:v>
      </x:c>
      <x:c r="F64" s="27" t="str">
        <x:v>Conditional</x:v>
      </x:c>
      <x:c r="G64" s="27" t="str">
        <x:v>Review definition and historical availability</x:v>
      </x:c>
      <x:c r="H64" s="39" t="n">
        <x:v>17060</x:v>
      </x:c>
      <x:c r="I64" s="42" t="n">
        <x:v>0</x:v>
      </x:c>
      <x:c r="J64" s="27" t="str">
        <x:v>0.0 | 3.0 | 6.0 | 40.0</x:v>
      </x:c>
    </x:row>
    <x:row r="65" ht="27" customHeight="1">
      <x:c r="A65" s="36" t="n">
        <x:v>61</x:v>
      </x:c>
      <x:c r="B65" s="27" t="str">
        <x:v>valuation_change_12m_eur</x:v>
      </x:c>
      <x:c r="C65" s="27" t="str">
        <x:v>Outcome candidates</x:v>
      </x:c>
      <x:c r="D65" s="27" t="str">
        <x:v>float64</x:v>
      </x:c>
      <x:c r="E65" s="27" t="str">
        <x:v>Change from the pre-transfer as-of valuation to the tolerance-qualified horizon valuation.</x:v>
      </x:c>
      <x:c r="F65" s="27" t="str">
        <x:v>Target/diagnostic</x:v>
      </x:c>
      <x:c r="G65" s="27" t="str">
        <x:v>Post-transfer only; never use as a prediction feature</x:v>
      </x:c>
      <x:c r="H65" s="39" t="n">
        <x:v>9008</x:v>
      </x:c>
      <x:c r="I65" s="42" t="n">
        <x:v>0.47198124267291913</x:v>
      </x:c>
      <x:c r="J65" s="27" t="str">
        <x:v>-1500000.0 | 400000.0 | 0.0 | -6000000.0</x:v>
      </x:c>
    </x:row>
    <x:row r="66" ht="27" customHeight="1">
      <x:c r="A66" s="36" t="n">
        <x:v>62</x:v>
      </x:c>
      <x:c r="B66" s="27" t="str">
        <x:v>valuation_change_12m_pct</x:v>
      </x:c>
      <x:c r="C66" s="27" t="str">
        <x:v>Outcome candidates</x:v>
      </x:c>
      <x:c r="D66" s="27" t="str">
        <x:v>float64</x:v>
      </x:c>
      <x:c r="E66" s="27" t="str">
        <x:v>Change from the pre-transfer as-of valuation to the tolerance-qualified horizon valuation.</x:v>
      </x:c>
      <x:c r="F66" s="27" t="str">
        <x:v>Target/diagnostic</x:v>
      </x:c>
      <x:c r="G66" s="27" t="str">
        <x:v>Post-transfer only; never use as a prediction feature</x:v>
      </x:c>
      <x:c r="H66" s="39" t="n">
        <x:v>9008</x:v>
      </x:c>
      <x:c r="I66" s="42" t="n">
        <x:v>0.47198124267291913</x:v>
      </x:c>
      <x:c r="J66" s="27" t="str">
        <x:v>-0.5 | 0.8 | 0.0 | -0.3333333333333333</x:v>
      </x:c>
    </x:row>
    <x:row r="67" ht="27" customHeight="1">
      <x:c r="A67" s="36" t="n">
        <x:v>63</x:v>
      </x:c>
      <x:c r="B67" s="27" t="str">
        <x:v>valuation_change_24m_eur</x:v>
      </x:c>
      <x:c r="C67" s="27" t="str">
        <x:v>Outcome candidates</x:v>
      </x:c>
      <x:c r="D67" s="27" t="str">
        <x:v>float64</x:v>
      </x:c>
      <x:c r="E67" s="27" t="str">
        <x:v>Change from the pre-transfer as-of valuation to the tolerance-qualified horizon valuation.</x:v>
      </x:c>
      <x:c r="F67" s="27" t="str">
        <x:v>Target/diagnostic</x:v>
      </x:c>
      <x:c r="G67" s="27" t="str">
        <x:v>Post-transfer only; never use as a prediction feature</x:v>
      </x:c>
      <x:c r="H67" s="39" t="n">
        <x:v>7902</x:v>
      </x:c>
      <x:c r="I67" s="42" t="n">
        <x:v>0.5368112543962485</x:v>
      </x:c>
      <x:c r="J67" s="27" t="str">
        <x:v>-2050000.0 | 500000.0 | -425000.0 | -50000.0</x:v>
      </x:c>
    </x:row>
    <x:row r="68" ht="27" customHeight="1">
      <x:c r="A68" s="36" t="n">
        <x:v>64</x:v>
      </x:c>
      <x:c r="B68" s="27" t="str">
        <x:v>valuation_change_24m_pct</x:v>
      </x:c>
      <x:c r="C68" s="27" t="str">
        <x:v>Outcome candidates</x:v>
      </x:c>
      <x:c r="D68" s="27" t="str">
        <x:v>float64</x:v>
      </x:c>
      <x:c r="E68" s="27" t="str">
        <x:v>Change from the pre-transfer as-of valuation to the tolerance-qualified horizon valuation.</x:v>
      </x:c>
      <x:c r="F68" s="27" t="str">
        <x:v>Target/diagnostic</x:v>
      </x:c>
      <x:c r="G68" s="27" t="str">
        <x:v>Post-transfer only; never use as a prediction feature</x:v>
      </x:c>
      <x:c r="H68" s="39" t="n">
        <x:v>7902</x:v>
      </x:c>
      <x:c r="I68" s="42" t="n">
        <x:v>0.5368112543962485</x:v>
      </x:c>
      <x:c r="J68" s="27" t="str">
        <x:v>-0.6833333333333333 | 1.0 | -0.5666666666666667 | -0.14285714285714285</x:v>
      </x:c>
    </x:row>
    <x:row r="69" ht="27" customHeight="1">
      <x:c r="A69" s="36" t="n">
        <x:v>65</x:v>
      </x:c>
      <x:c r="B69" s="27" t="str">
        <x:v>fee_value_roi_proxy_12m</x:v>
      </x:c>
      <x:c r="C69" s="27" t="str">
        <x:v>Outcome candidates</x:v>
      </x:c>
      <x:c r="D69" s="27" t="str">
        <x:v>float64</x:v>
      </x:c>
      <x:c r="E69" s="27" t="str">
        <x:v>Valuation proxy calculated as (horizon market value - fee) / fee; not realized resale ROI.</x:v>
      </x:c>
      <x:c r="F69" s="27" t="str">
        <x:v>Target/diagnostic</x:v>
      </x:c>
      <x:c r="G69" s="27" t="str">
        <x:v>Post-transfer only; never use as a prediction feature</x:v>
      </x:c>
      <x:c r="H69" s="39" t="n">
        <x:v>1110</x:v>
      </x:c>
      <x:c r="I69" s="42" t="n">
        <x:v>0.9349355216881594</x:v>
      </x:c>
      <x:c r="J69" s="27" t="str">
        <x:v>0.75 | 0.14285714285714285 | -0.3333333333333333 | 2.0</x:v>
      </x:c>
    </x:row>
    <x:row r="70" ht="27" customHeight="1">
      <x:c r="A70" s="36" t="n">
        <x:v>66</x:v>
      </x:c>
      <x:c r="B70" s="27" t="str">
        <x:v>fee_value_roi_proxy_24m</x:v>
      </x:c>
      <x:c r="C70" s="27" t="str">
        <x:v>Outcome candidates</x:v>
      </x:c>
      <x:c r="D70" s="27" t="str">
        <x:v>float64</x:v>
      </x:c>
      <x:c r="E70" s="27" t="str">
        <x:v>Valuation proxy calculated as (horizon market value - fee) / fee; not realized resale ROI.</x:v>
      </x:c>
      <x:c r="F70" s="27" t="str">
        <x:v>Target/diagnostic</x:v>
      </x:c>
      <x:c r="G70" s="27" t="str">
        <x:v>Post-transfer only; never use as a prediction feature</x:v>
      </x:c>
      <x:c r="H70" s="39" t="n">
        <x:v>1015</x:v>
      </x:c>
      <x:c r="I70" s="42" t="n">
        <x:v>0.940504103165299</x:v>
      </x:c>
      <x:c r="J70" s="27" t="str">
        <x:v>0.0 | -0.42857142857142855 | -0.1111111111111111 | 1.4</x:v>
      </x:c>
    </x:row>
    <x:row r="71" ht="27" customHeight="1">
      <x:c r="A71" s="36" t="n">
        <x:v>67</x:v>
      </x:c>
      <x:c r="B71" s="27" t="str">
        <x:v>is_same_club_movement</x:v>
      </x:c>
      <x:c r="C71" s="27" t="str">
        <x:v>Eligibility and quality</x:v>
      </x:c>
      <x:c r="D71" s="27" t="str">
        <x:v>bool</x:v>
      </x:c>
      <x:c r="E71" s="27" t="str">
        <x:v>Boolean data-availability, coverage, or quality flag described by the field name.</x:v>
      </x:c>
      <x:c r="F71" s="27" t="str">
        <x:v>Filter/diagnostic</x:v>
      </x:c>
      <x:c r="G71" s="27" t="str">
        <x:v>Defines sample membership; not a substantive predictor</x:v>
      </x:c>
      <x:c r="H71" s="39" t="n">
        <x:v>17060</x:v>
      </x:c>
      <x:c r="I71" s="42" t="n">
        <x:v>0</x:v>
      </x:c>
      <x:c r="J71" s="27" t="str">
        <x:v>False</x:v>
      </x:c>
    </x:row>
    <x:row r="72" ht="27" customHeight="1">
      <x:c r="A72" s="36" t="n">
        <x:v>68</x:v>
      </x:c>
      <x:c r="B72" s="27" t="str">
        <x:v>has_preseason_features</x:v>
      </x:c>
      <x:c r="C72" s="27" t="str">
        <x:v>Eligibility and quality</x:v>
      </x:c>
      <x:c r="D72" s="27" t="str">
        <x:v>bool</x:v>
      </x:c>
      <x:c r="E72" s="27" t="str">
        <x:v>Boolean data-availability, coverage, or quality flag described by the field name.</x:v>
      </x:c>
      <x:c r="F72" s="27" t="str">
        <x:v>Filter/diagnostic</x:v>
      </x:c>
      <x:c r="G72" s="27" t="str">
        <x:v>Defines sample membership; not a substantive predictor</x:v>
      </x:c>
      <x:c r="H72" s="39" t="n">
        <x:v>17060</x:v>
      </x:c>
      <x:c r="I72" s="42" t="n">
        <x:v>0</x:v>
      </x:c>
      <x:c r="J72" s="27" t="str">
        <x:v>False | True</x:v>
      </x:c>
    </x:row>
    <x:row r="73" ht="27" customHeight="1">
      <x:c r="A73" s="36" t="n">
        <x:v>69</x:v>
      </x:c>
      <x:c r="B73" s="27" t="str">
        <x:v>has_pre_valuation_365d</x:v>
      </x:c>
      <x:c r="C73" s="27" t="str">
        <x:v>Eligibility and quality</x:v>
      </x:c>
      <x:c r="D73" s="27" t="str">
        <x:v>bool</x:v>
      </x:c>
      <x:c r="E73" s="27" t="str">
        <x:v>Boolean data-availability, coverage, or quality flag described by the field name.</x:v>
      </x:c>
      <x:c r="F73" s="27" t="str">
        <x:v>Filter/diagnostic</x:v>
      </x:c>
      <x:c r="G73" s="27" t="str">
        <x:v>Defines sample membership; not a substantive predictor</x:v>
      </x:c>
      <x:c r="H73" s="39" t="n">
        <x:v>17060</x:v>
      </x:c>
      <x:c r="I73" s="42" t="n">
        <x:v>0</x:v>
      </x:c>
      <x:c r="J73" s="27" t="str">
        <x:v>False | True</x:v>
      </x:c>
    </x:row>
    <x:row r="74" ht="27" customHeight="1">
      <x:c r="A74" s="36" t="n">
        <x:v>70</x:v>
      </x:c>
      <x:c r="B74" s="27" t="str">
        <x:v>has_post12_valuation_90d</x:v>
      </x:c>
      <x:c r="C74" s="27" t="str">
        <x:v>Eligibility and quality</x:v>
      </x:c>
      <x:c r="D74" s="27" t="str">
        <x:v>bool</x:v>
      </x:c>
      <x:c r="E74" s="27" t="str">
        <x:v>Boolean data-availability, coverage, or quality flag described by the field name.</x:v>
      </x:c>
      <x:c r="F74" s="27" t="str">
        <x:v>Filter/diagnostic</x:v>
      </x:c>
      <x:c r="G74" s="27" t="str">
        <x:v>Defines sample membership; not a substantive predictor</x:v>
      </x:c>
      <x:c r="H74" s="39" t="n">
        <x:v>17060</x:v>
      </x:c>
      <x:c r="I74" s="42" t="n">
        <x:v>0</x:v>
      </x:c>
      <x:c r="J74" s="27" t="str">
        <x:v>False | True</x:v>
      </x:c>
    </x:row>
    <x:row r="75" ht="27" customHeight="1">
      <x:c r="A75" s="36" t="n">
        <x:v>71</x:v>
      </x:c>
      <x:c r="B75" s="27" t="str">
        <x:v>has_post24_valuation_90d</x:v>
      </x:c>
      <x:c r="C75" s="27" t="str">
        <x:v>Eligibility and quality</x:v>
      </x:c>
      <x:c r="D75" s="27" t="str">
        <x:v>bool</x:v>
      </x:c>
      <x:c r="E75" s="27" t="str">
        <x:v>Boolean data-availability, coverage, or quality flag described by the field name.</x:v>
      </x:c>
      <x:c r="F75" s="27" t="str">
        <x:v>Filter/diagnostic</x:v>
      </x:c>
      <x:c r="G75" s="27" t="str">
        <x:v>Defines sample membership; not a substantive predictor</x:v>
      </x:c>
      <x:c r="H75" s="39" t="n">
        <x:v>17060</x:v>
      </x:c>
      <x:c r="I75" s="42" t="n">
        <x:v>0</x:v>
      </x:c>
      <x:c r="J75" s="27" t="str">
        <x:v>False | True</x:v>
      </x:c>
    </x:row>
    <x:row r="76" ht="27" customHeight="1">
      <x:c r="A76" s="36" t="n">
        <x:v>72</x:v>
      </x:c>
      <x:c r="B76" s="27" t="str">
        <x:v>has_destination_coverage_12m</x:v>
      </x:c>
      <x:c r="C76" s="27" t="str">
        <x:v>Eligibility and quality</x:v>
      </x:c>
      <x:c r="D76" s="27" t="str">
        <x:v>bool</x:v>
      </x:c>
      <x:c r="E76" s="27" t="str">
        <x:v>Boolean data-availability, coverage, or quality flag described by the field name.</x:v>
      </x:c>
      <x:c r="F76" s="27" t="str">
        <x:v>Filter/diagnostic</x:v>
      </x:c>
      <x:c r="G76" s="27" t="str">
        <x:v>Defines sample membership; not a substantive predictor</x:v>
      </x:c>
      <x:c r="H76" s="39" t="n">
        <x:v>17060</x:v>
      </x:c>
      <x:c r="I76" s="42" t="n">
        <x:v>0</x:v>
      </x:c>
      <x:c r="J76" s="27" t="str">
        <x:v>False | True</x:v>
      </x:c>
    </x:row>
    <x:row r="77" ht="27" customHeight="1">
      <x:c r="A77" s="36" t="n">
        <x:v>73</x:v>
      </x:c>
      <x:c r="B77" s="27" t="str">
        <x:v>has_destination_coverage_24m</x:v>
      </x:c>
      <x:c r="C77" s="27" t="str">
        <x:v>Eligibility and quality</x:v>
      </x:c>
      <x:c r="D77" s="27" t="str">
        <x:v>bool</x:v>
      </x:c>
      <x:c r="E77" s="27" t="str">
        <x:v>Boolean data-availability, coverage, or quality flag described by the field name.</x:v>
      </x:c>
      <x:c r="F77" s="27" t="str">
        <x:v>Filter/diagnostic</x:v>
      </x:c>
      <x:c r="G77" s="27" t="str">
        <x:v>Defines sample membership; not a substantive predictor</x:v>
      </x:c>
      <x:c r="H77" s="39" t="n">
        <x:v>17060</x:v>
      </x:c>
      <x:c r="I77" s="42" t="n">
        <x:v>0</x:v>
      </x:c>
      <x:c r="J77" s="27" t="str">
        <x:v>False | True</x:v>
      </x:c>
    </x:row>
    <x:row r="78" ht="27" customHeight="1">
      <x:c r="A78" s="36" t="n">
        <x:v>74</x:v>
      </x:c>
      <x:c r="B78" s="27" t="str">
        <x:v>has_positive_disclosed_fee</x:v>
      </x:c>
      <x:c r="C78" s="27" t="str">
        <x:v>Eligibility and quality</x:v>
      </x:c>
      <x:c r="D78" s="27" t="str">
        <x:v>bool</x:v>
      </x:c>
      <x:c r="E78" s="27" t="str">
        <x:v>Boolean data-availability, coverage, or quality flag described by the field name.</x:v>
      </x:c>
      <x:c r="F78" s="27" t="str">
        <x:v>Filter/diagnostic</x:v>
      </x:c>
      <x:c r="G78" s="27" t="str">
        <x:v>Defines sample membership; not a substantive predictor</x:v>
      </x:c>
      <x:c r="H78" s="39" t="n">
        <x:v>17060</x:v>
      </x:c>
      <x:c r="I78" s="42" t="n">
        <x:v>0</x:v>
      </x:c>
      <x:c r="J78" s="27" t="str">
        <x:v>False | True</x:v>
      </x:c>
    </x:row>
    <x:row r="79" ht="27" customHeight="1">
      <x:c r="A79" s="36" t="n">
        <x:v>75</x:v>
      </x:c>
      <x:c r="B79" s="27" t="str">
        <x:v>eligible_sporting_12m</x:v>
      </x:c>
      <x:c r="C79" s="27" t="str">
        <x:v>Eligibility and quality</x:v>
      </x:c>
      <x:c r="D79" s="27" t="str">
        <x:v>bool</x:v>
      </x:c>
      <x:c r="E79" s="27" t="str">
        <x:v>Boolean eligibility flag for the named provisional modeling sample.</x:v>
      </x:c>
      <x:c r="F79" s="27" t="str">
        <x:v>Filter/diagnostic</x:v>
      </x:c>
      <x:c r="G79" s="27" t="str">
        <x:v>Defines sample membership; not a substantive predictor</x:v>
      </x:c>
      <x:c r="H79" s="39" t="n">
        <x:v>17060</x:v>
      </x:c>
      <x:c r="I79" s="42" t="n">
        <x:v>0</x:v>
      </x:c>
      <x:c r="J79" s="27" t="str">
        <x:v>False | True</x:v>
      </x:c>
    </x:row>
    <x:row r="80" ht="27" customHeight="1">
      <x:c r="A80" s="36" t="n">
        <x:v>76</x:v>
      </x:c>
      <x:c r="B80" s="27" t="str">
        <x:v>eligible_sporting_24m</x:v>
      </x:c>
      <x:c r="C80" s="27" t="str">
        <x:v>Eligibility and quality</x:v>
      </x:c>
      <x:c r="D80" s="27" t="str">
        <x:v>bool</x:v>
      </x:c>
      <x:c r="E80" s="27" t="str">
        <x:v>Boolean eligibility flag for the named provisional modeling sample.</x:v>
      </x:c>
      <x:c r="F80" s="27" t="str">
        <x:v>Filter/diagnostic</x:v>
      </x:c>
      <x:c r="G80" s="27" t="str">
        <x:v>Defines sample membership; not a substantive predictor</x:v>
      </x:c>
      <x:c r="H80" s="39" t="n">
        <x:v>17060</x:v>
      </x:c>
      <x:c r="I80" s="42" t="n">
        <x:v>0</x:v>
      </x:c>
      <x:c r="J80" s="27" t="str">
        <x:v>False | True</x:v>
      </x:c>
    </x:row>
    <x:row r="81" ht="27" customHeight="1">
      <x:c r="A81" s="36" t="n">
        <x:v>77</x:v>
      </x:c>
      <x:c r="B81" s="27" t="str">
        <x:v>eligible_financial_12m_provisional</x:v>
      </x:c>
      <x:c r="C81" s="27" t="str">
        <x:v>Eligibility and quality</x:v>
      </x:c>
      <x:c r="D81" s="27" t="str">
        <x:v>bool</x:v>
      </x:c>
      <x:c r="E81" s="27" t="str">
        <x:v>Boolean eligibility flag for the named provisional modeling sample.</x:v>
      </x:c>
      <x:c r="F81" s="27" t="str">
        <x:v>Filter/diagnostic</x:v>
      </x:c>
      <x:c r="G81" s="27" t="str">
        <x:v>Defines sample membership; not a substantive predictor</x:v>
      </x:c>
      <x:c r="H81" s="39" t="n">
        <x:v>17060</x:v>
      </x:c>
      <x:c r="I81" s="42" t="n">
        <x:v>0</x:v>
      </x:c>
      <x:c r="J81" s="27" t="str">
        <x:v>False | True</x:v>
      </x:c>
    </x:row>
    <x:row r="82" ht="27" customHeight="1">
      <x:c r="A82" s="36" t="n">
        <x:v>78</x:v>
      </x:c>
      <x:c r="B82" s="27" t="str">
        <x:v>eligible_financial_24m_provisional</x:v>
      </x:c>
      <x:c r="C82" s="27" t="str">
        <x:v>Eligibility and quality</x:v>
      </x:c>
      <x:c r="D82" s="27" t="str">
        <x:v>bool</x:v>
      </x:c>
      <x:c r="E82" s="27" t="str">
        <x:v>Boolean eligibility flag for the named provisional modeling sample.</x:v>
      </x:c>
      <x:c r="F82" s="27" t="str">
        <x:v>Filter/diagnostic</x:v>
      </x:c>
      <x:c r="G82" s="27" t="str">
        <x:v>Defines sample membership; not a substantive predictor</x:v>
      </x:c>
      <x:c r="H82" s="39" t="n">
        <x:v>17060</x:v>
      </x:c>
      <x:c r="I82" s="42" t="n">
        <x:v>0</x:v>
      </x:c>
      <x:c r="J82" s="27" t="str">
        <x:v>False | True</x:v>
      </x:c>
    </x:row>
    <x:row r="83" ht="27" customHeight="1">
      <x:c r="A83" s="36" t="n">
        <x:v>79</x:v>
      </x:c>
      <x:c r="B83" s="27" t="str">
        <x:v>eligible_combined_24m_provisional</x:v>
      </x:c>
      <x:c r="C83" s="27" t="str">
        <x:v>Eligibility and quality</x:v>
      </x:c>
      <x:c r="D83" s="27" t="str">
        <x:v>bool</x:v>
      </x:c>
      <x:c r="E83" s="27" t="str">
        <x:v>Boolean eligibility flag for the named provisional modeling sample.</x:v>
      </x:c>
      <x:c r="F83" s="27" t="str">
        <x:v>Filter/diagnostic</x:v>
      </x:c>
      <x:c r="G83" s="27" t="str">
        <x:v>Defines sample membership; not a substantive predictor</x:v>
      </x:c>
      <x:c r="H83" s="39" t="n">
        <x:v>17060</x:v>
      </x:c>
      <x:c r="I83" s="42" t="n">
        <x:v>0</x:v>
      </x:c>
      <x:c r="J83" s="27" t="str">
        <x:v>False | True</x:v>
      </x:c>
    </x:row>
    <x:row r="84" ht="27" customHeight="1">
      <x:c r="A84" s="36" t="n">
        <x:v>80</x:v>
      </x:c>
      <x:c r="B84" s="27" t="str">
        <x:v>cohort_tier</x:v>
      </x:c>
      <x:c r="C84" s="27" t="str">
        <x:v>Source/context</x:v>
      </x:c>
      <x:c r="D84" s="27" t="str">
        <x:v>str</x:v>
      </x:c>
      <x:c r="E84" s="27" t="str">
        <x:v>Highest provisional modeling tier satisfied by the transfer.</x:v>
      </x:c>
      <x:c r="F84" s="27" t="str">
        <x:v>Conditional</x:v>
      </x:c>
      <x:c r="G84" s="27" t="str">
        <x:v>Review definition and historical availability</x:v>
      </x:c>
      <x:c r="H84" s="39" t="n">
        <x:v>17060</x:v>
      </x:c>
      <x:c r="I84" s="42" t="n">
        <x:v>0</x:v>
      </x:c>
      <x:c r="J84" s="27" t="str">
        <x:v>candidate_not_model_ready | sporting_24m | financial_24m_provisional | combined_24m_provisional</x:v>
      </x:c>
    </x:row>
    <x:row r="85" ht="27" customHeight="1">
      <x:c r="A85" s="36" t="n">
        <x:v>81</x:v>
      </x:c>
      <x:c r="B85" s="27" t="str">
        <x:v>eligibility_exclusion_reasons</x:v>
      </x:c>
      <x:c r="C85" s="27" t="str">
        <x:v>Source/context</x:v>
      </x:c>
      <x:c r="D85" s="27" t="str">
        <x:v>str</x:v>
      </x:c>
      <x:c r="E85" s="27" t="str">
        <x:v>Pipe-delimited reasons the record fails one or more strict eligibility rules.</x:v>
      </x:c>
      <x:c r="F85" s="27" t="str">
        <x:v>Conditional</x:v>
      </x:c>
      <x:c r="G85" s="27" t="str">
        <x:v>Review definition and historical availability</x:v>
      </x:c>
      <x:c r="H85" s="39" t="n">
        <x:v>17060</x:v>
      </x:c>
      <x:c r="I85" s="42" t="n">
        <x:v>0</x:v>
      </x:c>
      <x:c r="J85" s="27" t="str">
        <x:v>no_completed_seasonal_features | insufficient_destination_game_coverage_24m | fe | no_completed_seasonal_features | insufficient_destination_game_coverage_24m | fe | no_completed_seasonal_features | insufficient_destination_game_coverage_24m | fe | no_completed_seasonal_features | fee_zero_or_unclassified_movement</x:v>
      </x:c>
    </x:row>
    <x:row r="86" ht="27" customHeight="1">
      <x:c r="A86" s="36" t="n">
        <x:v>82</x:v>
      </x:c>
      <x:c r="B86" s="27" t="str">
        <x:v>preseason_seasonal_source_rows</x:v>
      </x:c>
      <x:c r="C86" s="27" t="str">
        <x:v>Pre-transfer features</x:v>
      </x:c>
      <x:c r="D86" s="27" t="str">
        <x:v>float64</x:v>
      </x:c>
      <x:c r="E86" s="27" t="str">
        <x:v>Latest fully completed pre-transfer season feature: seasonal source rows.</x:v>
      </x:c>
      <x:c r="F86" s="27" t="str">
        <x:v>Feature</x:v>
      </x:c>
      <x:c r="G86" s="27" t="str">
        <x:v>Must be dated before transfer_date</x:v>
      </x:c>
      <x:c r="H86" s="39" t="n">
        <x:v>1890</x:v>
      </x:c>
      <x:c r="I86" s="42" t="n">
        <x:v>0.8892145369284877</x:v>
      </x:c>
      <x:c r="J86" s="27" t="str">
        <x:v>1.0 | 2.0</x:v>
      </x:c>
    </x:row>
    <x:row r="87" ht="27" customHeight="1">
      <x:c r="A87" s="36" t="n">
        <x:v>83</x:v>
      </x:c>
      <x:c r="B87" s="27" t="str">
        <x:v>preseason_player_name</x:v>
      </x:c>
      <x:c r="C87" s="27" t="str">
        <x:v>Pre-transfer features</x:v>
      </x:c>
      <x:c r="D87" s="27" t="str">
        <x:v>str</x:v>
      </x:c>
      <x:c r="E87" s="27" t="str">
        <x:v>Latest fully completed pre-transfer season feature: player name.</x:v>
      </x:c>
      <x:c r="F87" s="27" t="str">
        <x:v>Feature</x:v>
      </x:c>
      <x:c r="G87" s="27" t="str">
        <x:v>Must be dated before transfer_date</x:v>
      </x:c>
      <x:c r="H87" s="39" t="n">
        <x:v>1890</x:v>
      </x:c>
      <x:c r="I87" s="42" t="n">
        <x:v>0.8892145369284877</x:v>
      </x:c>
      <x:c r="J87" s="27" t="str">
        <x:v>Mark Uth | Khouma Babacar | Gerard Deulofeu | Simone Verdi</x:v>
      </x:c>
    </x:row>
    <x:row r="88" ht="27" customHeight="1">
      <x:c r="A88" s="36" t="n">
        <x:v>84</x:v>
      </x:c>
      <x:c r="B88" s="27" t="str">
        <x:v>preseason_birth_year</x:v>
      </x:c>
      <x:c r="C88" s="27" t="str">
        <x:v>Pre-transfer features</x:v>
      </x:c>
      <x:c r="D88" s="27" t="str">
        <x:v>str</x:v>
      </x:c>
      <x:c r="E88" s="27" t="str">
        <x:v>Latest fully completed pre-transfer season feature: birth year.</x:v>
      </x:c>
      <x:c r="F88" s="27" t="str">
        <x:v>Feature</x:v>
      </x:c>
      <x:c r="G88" s="27" t="str">
        <x:v>Must be dated before transfer_date</x:v>
      </x:c>
      <x:c r="H88" s="39" t="n">
        <x:v>1890</x:v>
      </x:c>
      <x:c r="I88" s="42" t="n">
        <x:v>0.8892145369284877</x:v>
      </x:c>
      <x:c r="J88" s="27" t="str">
        <x:v>1991 | 1993 | 1994 | 1992</x:v>
      </x:c>
    </x:row>
    <x:row r="89" ht="27" customHeight="1">
      <x:c r="A89" s="36" t="n">
        <x:v>85</x:v>
      </x:c>
      <x:c r="B89" s="27" t="str">
        <x:v>preseason_age</x:v>
      </x:c>
      <x:c r="C89" s="27" t="str">
        <x:v>Pre-transfer features</x:v>
      </x:c>
      <x:c r="D89" s="27" t="str">
        <x:v>str</x:v>
      </x:c>
      <x:c r="E89" s="27" t="str">
        <x:v>Latest fully completed pre-transfer season feature: age.</x:v>
      </x:c>
      <x:c r="F89" s="27" t="str">
        <x:v>Feature</x:v>
      </x:c>
      <x:c r="G89" s="27" t="str">
        <x:v>Must be dated before transfer_date</x:v>
      </x:c>
      <x:c r="H89" s="39" t="n">
        <x:v>1890</x:v>
      </x:c>
      <x:c r="I89" s="42" t="n">
        <x:v>0.8892145369284877</x:v>
      </x:c>
      <x:c r="J89" s="27" t="str">
        <x:v>25 | 24 | 23 | 22</x:v>
      </x:c>
    </x:row>
    <x:row r="90" ht="27" customHeight="1">
      <x:c r="A90" s="36" t="n">
        <x:v>86</x:v>
      </x:c>
      <x:c r="B90" s="27" t="str">
        <x:v>preseason_nations</x:v>
      </x:c>
      <x:c r="C90" s="27" t="str">
        <x:v>Pre-transfer features</x:v>
      </x:c>
      <x:c r="D90" s="27" t="str">
        <x:v>str</x:v>
      </x:c>
      <x:c r="E90" s="27" t="str">
        <x:v>Latest fully completed pre-transfer season feature: nations.</x:v>
      </x:c>
      <x:c r="F90" s="27" t="str">
        <x:v>Feature</x:v>
      </x:c>
      <x:c r="G90" s="27" t="str">
        <x:v>Must be dated before transfer_date</x:v>
      </x:c>
      <x:c r="H90" s="39" t="n">
        <x:v>1890</x:v>
      </x:c>
      <x:c r="I90" s="42" t="n">
        <x:v>0.8892145369284877</x:v>
      </x:c>
      <x:c r="J90" s="27" t="str">
        <x:v>Germany | Senegal | Spain | Italy</x:v>
      </x:c>
    </x:row>
    <x:row r="91" ht="27" customHeight="1">
      <x:c r="A91" s="36" t="n">
        <x:v>87</x:v>
      </x:c>
      <x:c r="B91" s="27" t="str">
        <x:v>preseason_goals_and_assists</x:v>
      </x:c>
      <x:c r="C91" s="27" t="str">
        <x:v>Pre-transfer features</x:v>
      </x:c>
      <x:c r="D91" s="27" t="str">
        <x:v>float64</x:v>
      </x:c>
      <x:c r="E91" s="27" t="str">
        <x:v>Latest fully completed pre-transfer season feature: goals and assists.</x:v>
      </x:c>
      <x:c r="F91" s="27" t="str">
        <x:v>Feature</x:v>
      </x:c>
      <x:c r="G91" s="27" t="str">
        <x:v>Must be dated before transfer_date</x:v>
      </x:c>
      <x:c r="H91" s="39" t="n">
        <x:v>1890</x:v>
      </x:c>
      <x:c r="I91" s="42" t="n">
        <x:v>0.8892145369284877</x:v>
      </x:c>
      <x:c r="J91" s="27" t="str">
        <x:v>22.0 | 8.0 | 3.0 | 18.0</x:v>
      </x:c>
    </x:row>
    <x:row r="92" ht="27" customHeight="1">
      <x:c r="A92" s="36" t="n">
        <x:v>88</x:v>
      </x:c>
      <x:c r="B92" s="27" t="str">
        <x:v>preseason_non_penalty_goals</x:v>
      </x:c>
      <x:c r="C92" s="27" t="str">
        <x:v>Pre-transfer features</x:v>
      </x:c>
      <x:c r="D92" s="27" t="str">
        <x:v>float64</x:v>
      </x:c>
      <x:c r="E92" s="27" t="str">
        <x:v>Latest fully completed pre-transfer season feature: non penalty goals.</x:v>
      </x:c>
      <x:c r="F92" s="27" t="str">
        <x:v>Feature</x:v>
      </x:c>
      <x:c r="G92" s="27" t="str">
        <x:v>Must be dated before transfer_date</x:v>
      </x:c>
      <x:c r="H92" s="39" t="n">
        <x:v>1890</x:v>
      </x:c>
      <x:c r="I92" s="42" t="n">
        <x:v>0.8892145369284877</x:v>
      </x:c>
      <x:c r="J92" s="27" t="str">
        <x:v>14.0 | 3.0 | 2.0 | 8.0</x:v>
      </x:c>
    </x:row>
    <x:row r="93" ht="27" customHeight="1">
      <x:c r="A93" s="36" t="n">
        <x:v>89</x:v>
      </x:c>
      <x:c r="B93" s="27" t="str">
        <x:v>preseason_penalty_kicks_made</x:v>
      </x:c>
      <x:c r="C93" s="27" t="str">
        <x:v>Pre-transfer features</x:v>
      </x:c>
      <x:c r="D93" s="27" t="str">
        <x:v>float64</x:v>
      </x:c>
      <x:c r="E93" s="27" t="str">
        <x:v>Latest fully completed pre-transfer season feature: penalty kicks made.</x:v>
      </x:c>
      <x:c r="F93" s="27" t="str">
        <x:v>Feature</x:v>
      </x:c>
      <x:c r="G93" s="27" t="str">
        <x:v>Must be dated before transfer_date</x:v>
      </x:c>
      <x:c r="H93" s="39" t="n">
        <x:v>1890</x:v>
      </x:c>
      <x:c r="I93" s="42" t="n">
        <x:v>0.8892145369284877</x:v>
      </x:c>
      <x:c r="J93" s="27" t="str">
        <x:v>0.0 | 3.0 | 2.0 | 1.0</x:v>
      </x:c>
    </x:row>
    <x:row r="94" ht="27" customHeight="1">
      <x:c r="A94" s="36" t="n">
        <x:v>90</x:v>
      </x:c>
      <x:c r="B94" s="27" t="str">
        <x:v>preseason_progressive_carries</x:v>
      </x:c>
      <x:c r="C94" s="27" t="str">
        <x:v>Pre-transfer features</x:v>
      </x:c>
      <x:c r="D94" s="27" t="str">
        <x:v>float64</x:v>
      </x:c>
      <x:c r="E94" s="27" t="str">
        <x:v>Latest fully completed pre-transfer season feature: progressive carries.</x:v>
      </x:c>
      <x:c r="F94" s="27" t="str">
        <x:v>Feature</x:v>
      </x:c>
      <x:c r="G94" s="27" t="str">
        <x:v>Must be dated before transfer_date</x:v>
      </x:c>
      <x:c r="H94" s="39" t="n">
        <x:v>1890</x:v>
      </x:c>
      <x:c r="I94" s="42" t="n">
        <x:v>0.8892145369284877</x:v>
      </x:c>
      <x:c r="J94" s="27" t="str">
        <x:v>31.0 | 21.0 | 55.0 | 93.0</x:v>
      </x:c>
    </x:row>
    <x:row r="95" ht="27" customHeight="1">
      <x:c r="A95" s="36" t="n">
        <x:v>91</x:v>
      </x:c>
      <x:c r="B95" s="27" t="str">
        <x:v>preseason_progressive_passes</x:v>
      </x:c>
      <x:c r="C95" s="27" t="str">
        <x:v>Pre-transfer features</x:v>
      </x:c>
      <x:c r="D95" s="27" t="str">
        <x:v>float64</x:v>
      </x:c>
      <x:c r="E95" s="27" t="str">
        <x:v>Latest fully completed pre-transfer season feature: progressive passes.</x:v>
      </x:c>
      <x:c r="F95" s="27" t="str">
        <x:v>Feature</x:v>
      </x:c>
      <x:c r="G95" s="27" t="str">
        <x:v>Must be dated before transfer_date</x:v>
      </x:c>
      <x:c r="H95" s="39" t="n">
        <x:v>1890</x:v>
      </x:c>
      <x:c r="I95" s="42" t="n">
        <x:v>0.8892145369284877</x:v>
      </x:c>
      <x:c r="J95" s="27" t="str">
        <x:v>44.0 | 25.0 | 27.0 | 114.0</x:v>
      </x:c>
    </x:row>
    <x:row r="96" ht="27" customHeight="1">
      <x:c r="A96" s="36" t="n">
        <x:v>92</x:v>
      </x:c>
      <x:c r="B96" s="27" t="str">
        <x:v>preseason_tackles_attempted</x:v>
      </x:c>
      <x:c r="C96" s="27" t="str">
        <x:v>Pre-transfer features</x:v>
      </x:c>
      <x:c r="D96" s="27" t="str">
        <x:v>float64</x:v>
      </x:c>
      <x:c r="E96" s="27" t="str">
        <x:v>Latest fully completed pre-transfer season feature: tackles attempted.</x:v>
      </x:c>
      <x:c r="F96" s="27" t="str">
        <x:v>Feature</x:v>
      </x:c>
      <x:c r="G96" s="27" t="str">
        <x:v>Must be dated before transfer_date</x:v>
      </x:c>
      <x:c r="H96" s="39" t="n">
        <x:v>1890</x:v>
      </x:c>
      <x:c r="I96" s="42" t="n">
        <x:v>0.8892145369284877</x:v>
      </x:c>
      <x:c r="J96" s="27" t="str">
        <x:v>32.0 | 14.0 | 13.0 | 33.0</x:v>
      </x:c>
    </x:row>
    <x:row r="97" ht="27" customHeight="1">
      <x:c r="A97" s="36" t="n">
        <x:v>93</x:v>
      </x:c>
      <x:c r="B97" s="27" t="str">
        <x:v>preseason_tackles_won</x:v>
      </x:c>
      <x:c r="C97" s="27" t="str">
        <x:v>Pre-transfer features</x:v>
      </x:c>
      <x:c r="D97" s="27" t="str">
        <x:v>float64</x:v>
      </x:c>
      <x:c r="E97" s="27" t="str">
        <x:v>Latest fully completed pre-transfer season feature: tackles won.</x:v>
      </x:c>
      <x:c r="F97" s="27" t="str">
        <x:v>Feature</x:v>
      </x:c>
      <x:c r="G97" s="27" t="str">
        <x:v>Must be dated before transfer_date</x:v>
      </x:c>
      <x:c r="H97" s="39" t="n">
        <x:v>1890</x:v>
      </x:c>
      <x:c r="I97" s="42" t="n">
        <x:v>0.8892145369284877</x:v>
      </x:c>
      <x:c r="J97" s="27" t="str">
        <x:v>23.0 | 10.0 | 8.0 | 24.0</x:v>
      </x:c>
    </x:row>
    <x:row r="98" ht="27" customHeight="1">
      <x:c r="A98" s="36" t="n">
        <x:v>94</x:v>
      </x:c>
      <x:c r="B98" s="27" t="str">
        <x:v>preseason_shots_blocked</x:v>
      </x:c>
      <x:c r="C98" s="27" t="str">
        <x:v>Pre-transfer features</x:v>
      </x:c>
      <x:c r="D98" s="27" t="str">
        <x:v>float64</x:v>
      </x:c>
      <x:c r="E98" s="27" t="str">
        <x:v>Latest fully completed pre-transfer season feature: shots blocked.</x:v>
      </x:c>
      <x:c r="F98" s="27" t="str">
        <x:v>Feature</x:v>
      </x:c>
      <x:c r="G98" s="27" t="str">
        <x:v>Must be dated before transfer_date</x:v>
      </x:c>
      <x:c r="H98" s="39" t="n">
        <x:v>1890</x:v>
      </x:c>
      <x:c r="I98" s="42" t="n">
        <x:v>0.8892145369284877</x:v>
      </x:c>
      <x:c r="J98" s="27" t="str">
        <x:v>3.0 | 0.0 | 1.0 | 27.0</x:v>
      </x:c>
    </x:row>
    <x:row r="99" ht="27" customHeight="1">
      <x:c r="A99" s="36" t="n">
        <x:v>95</x:v>
      </x:c>
      <x:c r="B99" s="27" t="str">
        <x:v>preseason_passes_blocked</x:v>
      </x:c>
      <x:c r="C99" s="27" t="str">
        <x:v>Pre-transfer features</x:v>
      </x:c>
      <x:c r="D99" s="27" t="str">
        <x:v>float64</x:v>
      </x:c>
      <x:c r="E99" s="27" t="str">
        <x:v>Latest fully completed pre-transfer season feature: passes blocked.</x:v>
      </x:c>
      <x:c r="F99" s="27" t="str">
        <x:v>Feature</x:v>
      </x:c>
      <x:c r="G99" s="27" t="str">
        <x:v>Must be dated before transfer_date</x:v>
      </x:c>
      <x:c r="H99" s="39" t="n">
        <x:v>1890</x:v>
      </x:c>
      <x:c r="I99" s="42" t="n">
        <x:v>0.8892145369284877</x:v>
      </x:c>
      <x:c r="J99" s="27" t="str">
        <x:v>27.0 | 8.0 | 2.0 | 19.0</x:v>
      </x:c>
    </x:row>
    <x:row r="100" ht="27" customHeight="1">
      <x:c r="A100" s="36" t="n">
        <x:v>96</x:v>
      </x:c>
      <x:c r="B100" s="27" t="str">
        <x:v>preseason_interceptions</x:v>
      </x:c>
      <x:c r="C100" s="27" t="str">
        <x:v>Pre-transfer features</x:v>
      </x:c>
      <x:c r="D100" s="27" t="str">
        <x:v>float64</x:v>
      </x:c>
      <x:c r="E100" s="27" t="str">
        <x:v>Latest fully completed pre-transfer season feature: interceptions.</x:v>
      </x:c>
      <x:c r="F100" s="27" t="str">
        <x:v>Feature</x:v>
      </x:c>
      <x:c r="G100" s="27" t="str">
        <x:v>Must be dated before transfer_date</x:v>
      </x:c>
      <x:c r="H100" s="39" t="n">
        <x:v>1890</x:v>
      </x:c>
      <x:c r="I100" s="42" t="n">
        <x:v>0.8892145369284877</x:v>
      </x:c>
      <x:c r="J100" s="27" t="str">
        <x:v>9.0 | 5.0 | 12.0 | 36.0</x:v>
      </x:c>
    </x:row>
    <x:row r="101" ht="27" customHeight="1">
      <x:c r="A101" s="36" t="n">
        <x:v>97</x:v>
      </x:c>
      <x:c r="B101" s="27" t="str">
        <x:v>preseason_clearances</x:v>
      </x:c>
      <x:c r="C101" s="27" t="str">
        <x:v>Pre-transfer features</x:v>
      </x:c>
      <x:c r="D101" s="27" t="str">
        <x:v>float64</x:v>
      </x:c>
      <x:c r="E101" s="27" t="str">
        <x:v>Latest fully completed pre-transfer season feature: clearances.</x:v>
      </x:c>
      <x:c r="F101" s="27" t="str">
        <x:v>Feature</x:v>
      </x:c>
      <x:c r="G101" s="27" t="str">
        <x:v>Must be dated before transfer_date</x:v>
      </x:c>
      <x:c r="H101" s="39" t="n">
        <x:v>1890</x:v>
      </x:c>
      <x:c r="I101" s="42" t="n">
        <x:v>0.8892145369284877</x:v>
      </x:c>
      <x:c r="J101" s="27" t="str">
        <x:v>19.0 | 6.0 | 3.0 | 12.0</x:v>
      </x:c>
    </x:row>
    <x:row r="102" ht="27" customHeight="1">
      <x:c r="A102" s="36" t="n">
        <x:v>98</x:v>
      </x:c>
      <x:c r="B102" s="27" t="str">
        <x:v>preseason_errors_made</x:v>
      </x:c>
      <x:c r="C102" s="27" t="str">
        <x:v>Pre-transfer features</x:v>
      </x:c>
      <x:c r="D102" s="27" t="str">
        <x:v>float64</x:v>
      </x:c>
      <x:c r="E102" s="27" t="str">
        <x:v>Latest fully completed pre-transfer season feature: errors made.</x:v>
      </x:c>
      <x:c r="F102" s="27" t="str">
        <x:v>Feature</x:v>
      </x:c>
      <x:c r="G102" s="27" t="str">
        <x:v>Must be dated before transfer_date</x:v>
      </x:c>
      <x:c r="H102" s="39" t="n">
        <x:v>1890</x:v>
      </x:c>
      <x:c r="I102" s="42" t="n">
        <x:v>0.8892145369284877</x:v>
      </x:c>
      <x:c r="J102" s="27" t="str">
        <x:v>0.0 | 1.0 | 3.0 | 5.0</x:v>
      </x:c>
    </x:row>
    <x:row r="103" ht="27" customHeight="1">
      <x:c r="A103" s="36" t="n">
        <x:v>99</x:v>
      </x:c>
      <x:c r="B103" s="27" t="str">
        <x:v>preseason_goals_against</x:v>
      </x:c>
      <x:c r="C103" s="27" t="str">
        <x:v>Pre-transfer features</x:v>
      </x:c>
      <x:c r="D103" s="27" t="str">
        <x:v>float64</x:v>
      </x:c>
      <x:c r="E103" s="27" t="str">
        <x:v>Latest fully completed pre-transfer season feature: goals against.</x:v>
      </x:c>
      <x:c r="F103" s="27" t="str">
        <x:v>Feature</x:v>
      </x:c>
      <x:c r="G103" s="27" t="str">
        <x:v>Must be dated before transfer_date</x:v>
      </x:c>
      <x:c r="H103" s="39" t="n">
        <x:v>128</x:v>
      </x:c>
      <x:c r="I103" s="42" t="n">
        <x:v>0.9924970691676436</x:v>
      </x:c>
      <x:c r="J103" s="27" t="str">
        <x:v>0.0 | 2.0 | 27.0 | 56.0</x:v>
      </x:c>
    </x:row>
    <x:row r="104" ht="27" customHeight="1">
      <x:c r="A104" s="36" t="n">
        <x:v>100</x:v>
      </x:c>
      <x:c r="B104" s="27" t="str">
        <x:v>preseason_saves</x:v>
      </x:c>
      <x:c r="C104" s="27" t="str">
        <x:v>Pre-transfer features</x:v>
      </x:c>
      <x:c r="D104" s="27" t="str">
        <x:v>float64</x:v>
      </x:c>
      <x:c r="E104" s="27" t="str">
        <x:v>Latest fully completed pre-transfer season feature: saves.</x:v>
      </x:c>
      <x:c r="F104" s="27" t="str">
        <x:v>Feature</x:v>
      </x:c>
      <x:c r="G104" s="27" t="str">
        <x:v>Must be dated before transfer_date</x:v>
      </x:c>
      <x:c r="H104" s="39" t="n">
        <x:v>128</x:v>
      </x:c>
      <x:c r="I104" s="42" t="n">
        <x:v>0.9924970691676436</x:v>
      </x:c>
      <x:c r="J104" s="27" t="str">
        <x:v>0.0 | 9.0 | 7.0 | 49.0</x:v>
      </x:c>
    </x:row>
    <x:row r="105" ht="27" customHeight="1">
      <x:c r="A105" s="36" t="n">
        <x:v>101</x:v>
      </x:c>
      <x:c r="B105" s="27" t="str">
        <x:v>preseason_clean_sheets</x:v>
      </x:c>
      <x:c r="C105" s="27" t="str">
        <x:v>Pre-transfer features</x:v>
      </x:c>
      <x:c r="D105" s="27" t="str">
        <x:v>float64</x:v>
      </x:c>
      <x:c r="E105" s="27" t="str">
        <x:v>Latest fully completed pre-transfer season feature: clean sheets.</x:v>
      </x:c>
      <x:c r="F105" s="27" t="str">
        <x:v>Feature</x:v>
      </x:c>
      <x:c r="G105" s="27" t="str">
        <x:v>Must be dated before transfer_date</x:v>
      </x:c>
      <x:c r="H105" s="39" t="n">
        <x:v>128</x:v>
      </x:c>
      <x:c r="I105" s="42" t="n">
        <x:v>0.9924970691676436</x:v>
      </x:c>
      <x:c r="J105" s="27" t="str">
        <x:v>0.0 | 2.0 | 6.0 | 5.0</x:v>
      </x:c>
    </x:row>
    <x:row r="106" ht="27" customHeight="1">
      <x:c r="A106" s="36" t="n">
        <x:v>102</x:v>
      </x:c>
      <x:c r="B106" s="27" t="str">
        <x:v>preseason_passes_completed</x:v>
      </x:c>
      <x:c r="C106" s="27" t="str">
        <x:v>Pre-transfer features</x:v>
      </x:c>
      <x:c r="D106" s="27" t="str">
        <x:v>float64</x:v>
      </x:c>
      <x:c r="E106" s="27" t="str">
        <x:v>Latest fully completed pre-transfer season feature: passes completed.</x:v>
      </x:c>
      <x:c r="F106" s="27" t="str">
        <x:v>Feature</x:v>
      </x:c>
      <x:c r="G106" s="27" t="str">
        <x:v>Must be dated before transfer_date</x:v>
      </x:c>
      <x:c r="H106" s="39" t="n">
        <x:v>1890</x:v>
      </x:c>
      <x:c r="I106" s="42" t="n">
        <x:v>0.8892145369284877</x:v>
      </x:c>
      <x:c r="J106" s="27" t="str">
        <x:v>418.0 | 184.0 | 340.0 | 916.0</x:v>
      </x:c>
    </x:row>
    <x:row r="107" ht="27" customHeight="1">
      <x:c r="A107" s="36" t="n">
        <x:v>103</x:v>
      </x:c>
      <x:c r="B107" s="27" t="str">
        <x:v>preseason_passes_attempted</x:v>
      </x:c>
      <x:c r="C107" s="27" t="str">
        <x:v>Pre-transfer features</x:v>
      </x:c>
      <x:c r="D107" s="27" t="str">
        <x:v>float64</x:v>
      </x:c>
      <x:c r="E107" s="27" t="str">
        <x:v>Latest fully completed pre-transfer season feature: passes attempted.</x:v>
      </x:c>
      <x:c r="F107" s="27" t="str">
        <x:v>Feature</x:v>
      </x:c>
      <x:c r="G107" s="27" t="str">
        <x:v>Must be dated before transfer_date</x:v>
      </x:c>
      <x:c r="H107" s="39" t="n">
        <x:v>1890</x:v>
      </x:c>
      <x:c r="I107" s="42" t="n">
        <x:v>0.8892145369284877</x:v>
      </x:c>
      <x:c r="J107" s="27" t="str">
        <x:v>570.0 | 240.0 | 454.0 | 1345.0</x:v>
      </x:c>
    </x:row>
    <x:row r="108" ht="27" customHeight="1">
      <x:c r="A108" s="36" t="n">
        <x:v>104</x:v>
      </x:c>
      <x:c r="B108" s="27" t="str">
        <x:v>preseason_progressive_passes_distance</x:v>
      </x:c>
      <x:c r="C108" s="27" t="str">
        <x:v>Pre-transfer features</x:v>
      </x:c>
      <x:c r="D108" s="27" t="str">
        <x:v>float64</x:v>
      </x:c>
      <x:c r="E108" s="27" t="str">
        <x:v>Latest fully completed pre-transfer season feature: progressive passes distance.</x:v>
      </x:c>
      <x:c r="F108" s="27" t="str">
        <x:v>Feature</x:v>
      </x:c>
      <x:c r="G108" s="27" t="str">
        <x:v>Must be dated before transfer_date</x:v>
      </x:c>
      <x:c r="H108" s="39" t="n">
        <x:v>1890</x:v>
      </x:c>
      <x:c r="I108" s="42" t="n">
        <x:v>0.8892145369284877</x:v>
      </x:c>
      <x:c r="J108" s="27" t="str">
        <x:v>1466.0 | 396.0 | 949.0 | 4618.0</x:v>
      </x:c>
    </x:row>
    <x:row r="109" ht="27" customHeight="1">
      <x:c r="A109" s="36" t="n">
        <x:v>105</x:v>
      </x:c>
      <x:c r="B109" s="27" t="str">
        <x:v>preseason_key_passes</x:v>
      </x:c>
      <x:c r="C109" s="27" t="str">
        <x:v>Pre-transfer features</x:v>
      </x:c>
      <x:c r="D109" s="27" t="str">
        <x:v>float64</x:v>
      </x:c>
      <x:c r="E109" s="27" t="str">
        <x:v>Latest fully completed pre-transfer season feature: key passes.</x:v>
      </x:c>
      <x:c r="F109" s="27" t="str">
        <x:v>Feature</x:v>
      </x:c>
      <x:c r="G109" s="27" t="str">
        <x:v>Must be dated before transfer_date</x:v>
      </x:c>
      <x:c r="H109" s="39" t="n">
        <x:v>1890</x:v>
      </x:c>
      <x:c r="I109" s="42" t="n">
        <x:v>0.8892145369284877</x:v>
      </x:c>
      <x:c r="J109" s="27" t="str">
        <x:v>29.0 | 14.0 | 21.0 | 52.0</x:v>
      </x:c>
    </x:row>
    <x:row r="110" ht="27" customHeight="1">
      <x:c r="A110" s="36" t="n">
        <x:v>106</x:v>
      </x:c>
      <x:c r="B110" s="27" t="str">
        <x:v>preseason_passes_into_final_third</x:v>
      </x:c>
      <x:c r="C110" s="27" t="str">
        <x:v>Pre-transfer features</x:v>
      </x:c>
      <x:c r="D110" s="27" t="str">
        <x:v>float64</x:v>
      </x:c>
      <x:c r="E110" s="27" t="str">
        <x:v>Latest fully completed pre-transfer season feature: passes into final third.</x:v>
      </x:c>
      <x:c r="F110" s="27" t="str">
        <x:v>Feature</x:v>
      </x:c>
      <x:c r="G110" s="27" t="str">
        <x:v>Must be dated before transfer_date</x:v>
      </x:c>
      <x:c r="H110" s="39" t="n">
        <x:v>1890</x:v>
      </x:c>
      <x:c r="I110" s="42" t="n">
        <x:v>0.8892145369284877</x:v>
      </x:c>
      <x:c r="J110" s="27" t="str">
        <x:v>27.0 | 13.0 | 18.0 | 88.0</x:v>
      </x:c>
    </x:row>
    <x:row r="111" ht="27" customHeight="1">
      <x:c r="A111" s="36" t="n">
        <x:v>107</x:v>
      </x:c>
      <x:c r="B111" s="27" t="str">
        <x:v>preseason_passes_into_penalty_area</x:v>
      </x:c>
      <x:c r="C111" s="27" t="str">
        <x:v>Pre-transfer features</x:v>
      </x:c>
      <x:c r="D111" s="27" t="str">
        <x:v>float64</x:v>
      </x:c>
      <x:c r="E111" s="27" t="str">
        <x:v>Latest fully completed pre-transfer season feature: passes into penalty area.</x:v>
      </x:c>
      <x:c r="F111" s="27" t="str">
        <x:v>Feature</x:v>
      </x:c>
      <x:c r="G111" s="27" t="str">
        <x:v>Must be dated before transfer_date</x:v>
      </x:c>
      <x:c r="H111" s="39" t="n">
        <x:v>1890</x:v>
      </x:c>
      <x:c r="I111" s="42" t="n">
        <x:v>0.8892145369284877</x:v>
      </x:c>
      <x:c r="J111" s="27" t="str">
        <x:v>25.0 | 5.0 | 10.0 | 49.0</x:v>
      </x:c>
    </x:row>
    <x:row r="112" ht="27" customHeight="1">
      <x:c r="A112" s="36" t="n">
        <x:v>108</x:v>
      </x:c>
      <x:c r="B112" s="27" t="str">
        <x:v>preseason_touches_defensive_penalty_area</x:v>
      </x:c>
      <x:c r="C112" s="27" t="str">
        <x:v>Pre-transfer features</x:v>
      </x:c>
      <x:c r="D112" s="27" t="str">
        <x:v>float64</x:v>
      </x:c>
      <x:c r="E112" s="27" t="str">
        <x:v>Latest fully completed pre-transfer season feature: touches defensive penalty area.</x:v>
      </x:c>
      <x:c r="F112" s="27" t="str">
        <x:v>Feature</x:v>
      </x:c>
      <x:c r="G112" s="27" t="str">
        <x:v>Must be dated before transfer_date</x:v>
      </x:c>
      <x:c r="H112" s="39" t="n">
        <x:v>1890</x:v>
      </x:c>
      <x:c r="I112" s="42" t="n">
        <x:v>0.8892145369284877</x:v>
      </x:c>
      <x:c r="J112" s="27" t="str">
        <x:v>20.0 | 9.0 | 7.0 | 11.0</x:v>
      </x:c>
    </x:row>
    <x:row r="113" ht="27" customHeight="1">
      <x:c r="A113" s="36" t="n">
        <x:v>109</x:v>
      </x:c>
      <x:c r="B113" s="27" t="str">
        <x:v>preseason_take_ons_attempted</x:v>
      </x:c>
      <x:c r="C113" s="27" t="str">
        <x:v>Pre-transfer features</x:v>
      </x:c>
      <x:c r="D113" s="27" t="str">
        <x:v>float64</x:v>
      </x:c>
      <x:c r="E113" s="27" t="str">
        <x:v>Latest fully completed pre-transfer season feature: take ons attempted.</x:v>
      </x:c>
      <x:c r="F113" s="27" t="str">
        <x:v>Feature</x:v>
      </x:c>
      <x:c r="G113" s="27" t="str">
        <x:v>Must be dated before transfer_date</x:v>
      </x:c>
      <x:c r="H113" s="39" t="n">
        <x:v>1890</x:v>
      </x:c>
      <x:c r="I113" s="42" t="n">
        <x:v>0.8892145369284877</x:v>
      </x:c>
      <x:c r="J113" s="27" t="str">
        <x:v>53.0 | 11.0 | 48.0 | 119.0</x:v>
      </x:c>
    </x:row>
    <x:row r="114" ht="27" customHeight="1">
      <x:c r="A114" s="36" t="n">
        <x:v>110</x:v>
      </x:c>
      <x:c r="B114" s="27" t="str">
        <x:v>preseason_times_tackled_during_take_on</x:v>
      </x:c>
      <x:c r="C114" s="27" t="str">
        <x:v>Pre-transfer features</x:v>
      </x:c>
      <x:c r="D114" s="27" t="str">
        <x:v>float64</x:v>
      </x:c>
      <x:c r="E114" s="27" t="str">
        <x:v>Latest fully completed pre-transfer season feature: times tackled during take on.</x:v>
      </x:c>
      <x:c r="F114" s="27" t="str">
        <x:v>Feature</x:v>
      </x:c>
      <x:c r="G114" s="27" t="str">
        <x:v>Must be dated before transfer_date</x:v>
      </x:c>
      <x:c r="H114" s="39" t="n">
        <x:v>1890</x:v>
      </x:c>
      <x:c r="I114" s="42" t="n">
        <x:v>0.8892145369284877</x:v>
      </x:c>
      <x:c r="J114" s="27" t="str">
        <x:v>62.3 | 82.1 | 103.7 | 31.1</x:v>
      </x:c>
    </x:row>
    <x:row r="115" ht="27" customHeight="1">
      <x:c r="A115" s="36" t="n">
        <x:v>111</x:v>
      </x:c>
      <x:c r="B115" s="27" t="str">
        <x:v>preseason_carries_final_3rd</x:v>
      </x:c>
      <x:c r="C115" s="27" t="str">
        <x:v>Pre-transfer features</x:v>
      </x:c>
      <x:c r="D115" s="27" t="str">
        <x:v>float64</x:v>
      </x:c>
      <x:c r="E115" s="27" t="str">
        <x:v>Latest fully completed pre-transfer season feature: carries final 3rd.</x:v>
      </x:c>
      <x:c r="F115" s="27" t="str">
        <x:v>Feature</x:v>
      </x:c>
      <x:c r="G115" s="27" t="str">
        <x:v>Must be dated before transfer_date</x:v>
      </x:c>
      <x:c r="H115" s="39" t="n">
        <x:v>1890</x:v>
      </x:c>
      <x:c r="I115" s="42" t="n">
        <x:v>0.8892145369284877</x:v>
      </x:c>
      <x:c r="J115" s="27" t="str">
        <x:v>28.0 | 14.0 | 26.0 | 76.0</x:v>
      </x:c>
    </x:row>
    <x:row r="116" ht="27" customHeight="1">
      <x:c r="A116" s="36" t="n">
        <x:v>112</x:v>
      </x:c>
      <x:c r="B116" s="27" t="str">
        <x:v>preseason_carries_penalty_area</x:v>
      </x:c>
      <x:c r="C116" s="27" t="str">
        <x:v>Pre-transfer features</x:v>
      </x:c>
      <x:c r="D116" s="27" t="str">
        <x:v>float64</x:v>
      </x:c>
      <x:c r="E116" s="27" t="str">
        <x:v>Latest fully completed pre-transfer season feature: carries penalty area.</x:v>
      </x:c>
      <x:c r="F116" s="27" t="str">
        <x:v>Feature</x:v>
      </x:c>
      <x:c r="G116" s="27" t="str">
        <x:v>Must be dated before transfer_date</x:v>
      </x:c>
      <x:c r="H116" s="39" t="n">
        <x:v>1890</x:v>
      </x:c>
      <x:c r="I116" s="42" t="n">
        <x:v>0.8892145369284877</x:v>
      </x:c>
      <x:c r="J116" s="27" t="str">
        <x:v>16.0 | 8.0 | 33.0 | 21.0</x:v>
      </x:c>
    </x:row>
    <x:row r="117" ht="27" customHeight="1">
      <x:c r="A117" s="36" t="n">
        <x:v>113</x:v>
      </x:c>
      <x:c r="B117" s="27" t="str">
        <x:v>preseason_possessions_lost</x:v>
      </x:c>
      <x:c r="C117" s="27" t="str">
        <x:v>Pre-transfer features</x:v>
      </x:c>
      <x:c r="D117" s="27" t="str">
        <x:v>float64</x:v>
      </x:c>
      <x:c r="E117" s="27" t="str">
        <x:v>Latest fully completed pre-transfer season feature: possessions lost.</x:v>
      </x:c>
      <x:c r="F117" s="27" t="str">
        <x:v>Feature</x:v>
      </x:c>
      <x:c r="G117" s="27" t="str">
        <x:v>Must be dated before transfer_date</x:v>
      </x:c>
      <x:c r="H117" s="39" t="n">
        <x:v>1890</x:v>
      </x:c>
      <x:c r="I117" s="42" t="n">
        <x:v>0.8892145369284877</x:v>
      </x:c>
      <x:c r="J117" s="27" t="str">
        <x:v>48.0 | 23.0 | 15.0 | 78.0</x:v>
      </x:c>
    </x:row>
    <x:row r="118" ht="27" customHeight="1">
      <x:c r="A118" s="36" t="n">
        <x:v>114</x:v>
      </x:c>
      <x:c r="B118" s="27" t="str">
        <x:v>preseason_total_shots</x:v>
      </x:c>
      <x:c r="C118" s="27" t="str">
        <x:v>Pre-transfer features</x:v>
      </x:c>
      <x:c r="D118" s="27" t="str">
        <x:v>float64</x:v>
      </x:c>
      <x:c r="E118" s="27" t="str">
        <x:v>Latest fully completed pre-transfer season feature: total shots.</x:v>
      </x:c>
      <x:c r="F118" s="27" t="str">
        <x:v>Feature</x:v>
      </x:c>
      <x:c r="G118" s="27" t="str">
        <x:v>Must be dated before transfer_date</x:v>
      </x:c>
      <x:c r="H118" s="39" t="n">
        <x:v>1890</x:v>
      </x:c>
      <x:c r="I118" s="42" t="n">
        <x:v>0.8892145369284877</x:v>
      </x:c>
      <x:c r="J118" s="27" t="str">
        <x:v>54.0 | 46.0 | 16.0 | 90.0</x:v>
      </x:c>
    </x:row>
    <x:row r="119" ht="27" customHeight="1">
      <x:c r="A119" s="36" t="n">
        <x:v>115</x:v>
      </x:c>
      <x:c r="B119" s="27" t="str">
        <x:v>preseason_crosses_stopped</x:v>
      </x:c>
      <x:c r="C119" s="27" t="str">
        <x:v>Pre-transfer features</x:v>
      </x:c>
      <x:c r="D119" s="27" t="str">
        <x:v>float64</x:v>
      </x:c>
      <x:c r="E119" s="27" t="str">
        <x:v>Latest fully completed pre-transfer season feature: crosses stopped.</x:v>
      </x:c>
      <x:c r="F119" s="27" t="str">
        <x:v>Feature</x:v>
      </x:c>
      <x:c r="G119" s="27" t="str">
        <x:v>Must be dated before transfer_date</x:v>
      </x:c>
      <x:c r="H119" s="39" t="n">
        <x:v>128</x:v>
      </x:c>
      <x:c r="I119" s="42" t="n">
        <x:v>0.9924970691676436</x:v>
      </x:c>
      <x:c r="J119" s="27" t="str">
        <x:v>0.0 | 1.8 | 2.7 | 1.3</x:v>
      </x:c>
    </x:row>
    <x:row r="120" ht="27" customHeight="1">
      <x:c r="A120" s="36" t="n">
        <x:v>116</x:v>
      </x:c>
      <x:c r="B120" s="27" t="str">
        <x:v>preseason_goals_per90</x:v>
      </x:c>
      <x:c r="C120" s="27" t="str">
        <x:v>Pre-transfer features</x:v>
      </x:c>
      <x:c r="D120" s="27" t="str">
        <x:v>float64</x:v>
      </x:c>
      <x:c r="E120" s="27" t="str">
        <x:v>Latest fully completed pre-transfer season feature: goals per90.</x:v>
      </x:c>
      <x:c r="F120" s="27" t="str">
        <x:v>Feature</x:v>
      </x:c>
      <x:c r="G120" s="27" t="str">
        <x:v>Must be dated before transfer_date</x:v>
      </x:c>
      <x:c r="H120" s="39" t="n">
        <x:v>1890</x:v>
      </x:c>
      <x:c r="I120" s="42" t="n">
        <x:v>0.8892145369284877</x:v>
      </x:c>
      <x:c r="J120" s="27" t="str">
        <x:v>0.58 | 0.449415692821369 | 0.19391257995735606 | 0.32</x:v>
      </x:c>
    </x:row>
    <x:row r="121" ht="27" customHeight="1">
      <x:c r="A121" s="36" t="n">
        <x:v>117</x:v>
      </x:c>
      <x:c r="B121" s="27" t="str">
        <x:v>preseason_assists_per90</x:v>
      </x:c>
      <x:c r="C121" s="27" t="str">
        <x:v>Pre-transfer features</x:v>
      </x:c>
      <x:c r="D121" s="27" t="str">
        <x:v>float64</x:v>
      </x:c>
      <x:c r="E121" s="27" t="str">
        <x:v>Latest fully completed pre-transfer season feature: assists per90.</x:v>
      </x:c>
      <x:c r="F121" s="27" t="str">
        <x:v>Feature</x:v>
      </x:c>
      <x:c r="G121" s="27" t="str">
        <x:v>Must be dated before transfer_date</x:v>
      </x:c>
      <x:c r="H121" s="39" t="n">
        <x:v>1890</x:v>
      </x:c>
      <x:c r="I121" s="42" t="n">
        <x:v>0.8892145369284877</x:v>
      </x:c>
      <x:c r="J121" s="27" t="str">
        <x:v>0.33 | 0.14991652754590987 | 0.09652452025586353 | 0.25</x:v>
      </x:c>
    </x:row>
    <x:row r="122" ht="27" customHeight="1">
      <x:c r="A122" s="36" t="n">
        <x:v>118</x:v>
      </x:c>
      <x:c r="B122" s="27" t="str">
        <x:v>preseason_pct_dribbles_tackled</x:v>
      </x:c>
      <x:c r="C122" s="27" t="str">
        <x:v>Pre-transfer features</x:v>
      </x:c>
      <x:c r="D122" s="27" t="str">
        <x:v>float64</x:v>
      </x:c>
      <x:c r="E122" s="27" t="str">
        <x:v>Latest fully completed pre-transfer season feature: pct dribbles tackled.</x:v>
      </x:c>
      <x:c r="F122" s="27" t="str">
        <x:v>Feature</x:v>
      </x:c>
      <x:c r="G122" s="27" t="str">
        <x:v>Must be dated before transfer_date</x:v>
      </x:c>
      <x:c r="H122" s="39" t="n">
        <x:v>1890</x:v>
      </x:c>
      <x:c r="I122" s="42" t="n">
        <x:v>0.8892145369284877</x:v>
      </x:c>
      <x:c r="J122" s="27" t="str">
        <x:v>0.0 | 40.91487437185929 | 38.5 | 23.5</x:v>
      </x:c>
    </x:row>
    <x:row r="123" ht="27" customHeight="1">
      <x:c r="A123" s="36" t="n">
        <x:v>119</x:v>
      </x:c>
      <x:c r="B123" s="27" t="str">
        <x:v>preseason_goals_against_per90</x:v>
      </x:c>
      <x:c r="C123" s="27" t="str">
        <x:v>Pre-transfer features</x:v>
      </x:c>
      <x:c r="D123" s="27" t="str">
        <x:v>float64</x:v>
      </x:c>
      <x:c r="E123" s="27" t="str">
        <x:v>Latest fully completed pre-transfer season feature: goals against per90.</x:v>
      </x:c>
      <x:c r="F123" s="27" t="str">
        <x:v>Feature</x:v>
      </x:c>
      <x:c r="G123" s="27" t="str">
        <x:v>Must be dated before transfer_date</x:v>
      </x:c>
      <x:c r="H123" s="39" t="n">
        <x:v>128</x:v>
      </x:c>
      <x:c r="I123" s="42" t="n">
        <x:v>0.9924970691676436</x:v>
      </x:c>
      <x:c r="J123" s="27" t="str">
        <x:v>0.0 | 0.5 | 2.0 | 1.41</x:v>
      </x:c>
    </x:row>
    <x:row r="124" ht="27" customHeight="1">
      <x:c r="A124" s="36" t="n">
        <x:v>120</x:v>
      </x:c>
      <x:c r="B124" s="27" t="str">
        <x:v>preseason_saves_pct</x:v>
      </x:c>
      <x:c r="C124" s="27" t="str">
        <x:v>Pre-transfer features</x:v>
      </x:c>
      <x:c r="D124" s="27" t="str">
        <x:v>float64</x:v>
      </x:c>
      <x:c r="E124" s="27" t="str">
        <x:v>Latest fully completed pre-transfer season feature: saves pct.</x:v>
      </x:c>
      <x:c r="F124" s="27" t="str">
        <x:v>Feature</x:v>
      </x:c>
      <x:c r="G124" s="27" t="str">
        <x:v>Must be dated before transfer_date</x:v>
      </x:c>
      <x:c r="H124" s="39" t="n">
        <x:v>128</x:v>
      </x:c>
      <x:c r="I124" s="42" t="n">
        <x:v>0.9924970691676436</x:v>
      </x:c>
      <x:c r="J124" s="27" t="str">
        <x:v>0.0 | 90.9 | 75.0 | 65.8</x:v>
      </x:c>
    </x:row>
    <x:row r="125" ht="27" customHeight="1">
      <x:c r="A125" s="36" t="n">
        <x:v>121</x:v>
      </x:c>
      <x:c r="B125" s="27" t="str">
        <x:v>preseason_pct_clean_sheets</x:v>
      </x:c>
      <x:c r="C125" s="27" t="str">
        <x:v>Pre-transfer features</x:v>
      </x:c>
      <x:c r="D125" s="27" t="str">
        <x:v>float64</x:v>
      </x:c>
      <x:c r="E125" s="27" t="str">
        <x:v>Latest fully completed pre-transfer season feature: pct clean sheets.</x:v>
      </x:c>
      <x:c r="F125" s="27" t="str">
        <x:v>Feature</x:v>
      </x:c>
      <x:c r="G125" s="27" t="str">
        <x:v>Must be dated before transfer_date</x:v>
      </x:c>
      <x:c r="H125" s="39" t="n">
        <x:v>128</x:v>
      </x:c>
      <x:c r="I125" s="42" t="n">
        <x:v>0.9924970691676436</x:v>
      </x:c>
      <x:c r="J125" s="27" t="str">
        <x:v>0.0 | 50.0 | 31.6 | 17.2</x:v>
      </x:c>
    </x:row>
    <x:row r="126" ht="27" customHeight="1">
      <x:c r="A126" s="36" t="n">
        <x:v>122</x:v>
      </x:c>
      <x:c r="B126" s="27" t="str">
        <x:v>preseason_pct_penalty_saves</x:v>
      </x:c>
      <x:c r="C126" s="27" t="str">
        <x:v>Pre-transfer features</x:v>
      </x:c>
      <x:c r="D126" s="27" t="str">
        <x:v>float64</x:v>
      </x:c>
      <x:c r="E126" s="27" t="str">
        <x:v>Latest fully completed pre-transfer season feature: pct penalty saves.</x:v>
      </x:c>
      <x:c r="F126" s="27" t="str">
        <x:v>Feature</x:v>
      </x:c>
      <x:c r="G126" s="27" t="str">
        <x:v>Must be dated before transfer_date</x:v>
      </x:c>
      <x:c r="H126" s="39" t="n">
        <x:v>128</x:v>
      </x:c>
      <x:c r="I126" s="42" t="n">
        <x:v>0.9924970691676436</x:v>
      </x:c>
      <x:c r="J126" s="27" t="str">
        <x:v>0.0 | 16.7 | 20.0 | 38.43076923076923</x:v>
      </x:c>
    </x:row>
    <x:row r="127" ht="27" customHeight="1">
      <x:c r="A127" s="36" t="n">
        <x:v>123</x:v>
      </x:c>
      <x:c r="B127" s="27" t="str">
        <x:v>preseason_pass_completion_pct</x:v>
      </x:c>
      <x:c r="C127" s="27" t="str">
        <x:v>Pre-transfer features</x:v>
      </x:c>
      <x:c r="D127" s="27" t="str">
        <x:v>float64</x:v>
      </x:c>
      <x:c r="E127" s="27" t="str">
        <x:v>Latest fully completed pre-transfer season feature: pass completion pct.</x:v>
      </x:c>
      <x:c r="F127" s="27" t="str">
        <x:v>Feature</x:v>
      </x:c>
      <x:c r="G127" s="27" t="str">
        <x:v>Must be dated before transfer_date</x:v>
      </x:c>
      <x:c r="H127" s="39" t="n">
        <x:v>1890</x:v>
      </x:c>
      <x:c r="I127" s="42" t="n">
        <x:v>0.8892145369284877</x:v>
      </x:c>
      <x:c r="J127" s="27" t="str">
        <x:v>73.3 | 76.86594323873122 | 73.8407249466951 | 68.1</x:v>
      </x:c>
    </x:row>
    <x:row r="128" ht="27" customHeight="1">
      <x:c r="A128" s="36" t="n">
        <x:v>124</x:v>
      </x:c>
      <x:c r="B128" s="27" t="str">
        <x:v>preseason_pct_short_pass_completed</x:v>
      </x:c>
      <x:c r="C128" s="27" t="str">
        <x:v>Pre-transfer features</x:v>
      </x:c>
      <x:c r="D128" s="27" t="str">
        <x:v>float64</x:v>
      </x:c>
      <x:c r="E128" s="27" t="str">
        <x:v>Latest fully completed pre-transfer season feature: pct short pass completed.</x:v>
      </x:c>
      <x:c r="F128" s="27" t="str">
        <x:v>Feature</x:v>
      </x:c>
      <x:c r="G128" s="27" t="str">
        <x:v>Must be dated before transfer_date</x:v>
      </x:c>
      <x:c r="H128" s="39" t="n">
        <x:v>1890</x:v>
      </x:c>
      <x:c r="I128" s="42" t="n">
        <x:v>0.8892145369284877</x:v>
      </x:c>
      <x:c r="J128" s="27" t="str">
        <x:v>77.1 | 80.50083472454091 | 81.595842217484 | 84.7</x:v>
      </x:c>
    </x:row>
    <x:row r="129" ht="27" customHeight="1">
      <x:c r="A129" s="36" t="n">
        <x:v>125</x:v>
      </x:c>
      <x:c r="B129" s="27" t="str">
        <x:v>preseason_pct_medium_passes_completed</x:v>
      </x:c>
      <x:c r="C129" s="27" t="str">
        <x:v>Pre-transfer features</x:v>
      </x:c>
      <x:c r="D129" s="27" t="str">
        <x:v>float64</x:v>
      </x:c>
      <x:c r="E129" s="27" t="str">
        <x:v>Latest fully completed pre-transfer season feature: pct medium passes completed.</x:v>
      </x:c>
      <x:c r="F129" s="27" t="str">
        <x:v>Feature</x:v>
      </x:c>
      <x:c r="G129" s="27" t="str">
        <x:v>Must be dated before transfer_date</x:v>
      </x:c>
      <x:c r="H129" s="39" t="n">
        <x:v>1890</x:v>
      </x:c>
      <x:c r="I129" s="42" t="n">
        <x:v>0.8892145369284877</x:v>
      </x:c>
      <x:c r="J129" s="27" t="str">
        <x:v>78.7 | 81.21051752921537 | 76.10586353944562 | 71.3</x:v>
      </x:c>
    </x:row>
    <x:row r="130" ht="27" customHeight="1">
      <x:c r="A130" s="36" t="n">
        <x:v>126</x:v>
      </x:c>
      <x:c r="B130" s="27" t="str">
        <x:v>preseason_pct_long_passes_completed</x:v>
      </x:c>
      <x:c r="C130" s="27" t="str">
        <x:v>Pre-transfer features</x:v>
      </x:c>
      <x:c r="D130" s="27" t="str">
        <x:v>float64</x:v>
      </x:c>
      <x:c r="E130" s="27" t="str">
        <x:v>Latest fully completed pre-transfer season feature: pct long passes completed.</x:v>
      </x:c>
      <x:c r="F130" s="27" t="str">
        <x:v>Feature</x:v>
      </x:c>
      <x:c r="G130" s="27" t="str">
        <x:v>Must be dated before transfer_date</x:v>
      </x:c>
      <x:c r="H130" s="39" t="n">
        <x:v>1890</x:v>
      </x:c>
      <x:c r="I130" s="42" t="n">
        <x:v>0.8892145369284877</x:v>
      </x:c>
      <x:c r="J130" s="27" t="str">
        <x:v>70.4 | 70.84724540901503 | 60.97526652452026 | 42.6</x:v>
      </x:c>
    </x:row>
    <x:row r="131" ht="27" customHeight="1">
      <x:c r="A131" s="36" t="n">
        <x:v>127</x:v>
      </x:c>
      <x:c r="B131" s="27" t="str">
        <x:v>preseason_pct_successful_take_ons</x:v>
      </x:c>
      <x:c r="C131" s="27" t="str">
        <x:v>Pre-transfer features</x:v>
      </x:c>
      <x:c r="D131" s="27" t="str">
        <x:v>float64</x:v>
      </x:c>
      <x:c r="E131" s="27" t="str">
        <x:v>Latest fully completed pre-transfer season feature: pct successful take ons.</x:v>
      </x:c>
      <x:c r="F131" s="27" t="str">
        <x:v>Feature</x:v>
      </x:c>
      <x:c r="G131" s="27" t="str">
        <x:v>Must be dated before transfer_date</x:v>
      </x:c>
      <x:c r="H131" s="39" t="n">
        <x:v>1890</x:v>
      </x:c>
      <x:c r="I131" s="42" t="n">
        <x:v>0.8892145369284877</x:v>
      </x:c>
      <x:c r="J131" s="27" t="str">
        <x:v>37.7 | 62.995993322203674 | 47.07345415778251 | 65.5</x:v>
      </x:c>
    </x:row>
    <x:row r="132" ht="27" customHeight="1">
      <x:c r="A132" s="36" t="n">
        <x:v>128</x:v>
      </x:c>
      <x:c r="B132" s="27" t="str">
        <x:v>preseason_pct_shots_on_target</x:v>
      </x:c>
      <x:c r="C132" s="27" t="str">
        <x:v>Pre-transfer features</x:v>
      </x:c>
      <x:c r="D132" s="27" t="str">
        <x:v>float64</x:v>
      </x:c>
      <x:c r="E132" s="27" t="str">
        <x:v>Latest fully completed pre-transfer season feature: pct shots on target.</x:v>
      </x:c>
      <x:c r="F132" s="27" t="str">
        <x:v>Feature</x:v>
      </x:c>
      <x:c r="G132" s="27" t="str">
        <x:v>Must be dated before transfer_date</x:v>
      </x:c>
      <x:c r="H132" s="39" t="n">
        <x:v>1890</x:v>
      </x:c>
      <x:c r="I132" s="42" t="n">
        <x:v>0.8892145369284877</x:v>
      </x:c>
      <x:c r="J132" s="27" t="str">
        <x:v>38.9 | 32.116193656093486 | 50.0 | 30.0</x:v>
      </x:c>
    </x:row>
    <x:row r="133" ht="27" customHeight="1">
      <x:c r="A133" s="36" t="n">
        <x:v>129</x:v>
      </x:c>
      <x:c r="B133" s="27" t="str">
        <x:v>preseason_shots_per90</x:v>
      </x:c>
      <x:c r="C133" s="27" t="str">
        <x:v>Pre-transfer features</x:v>
      </x:c>
      <x:c r="D133" s="27" t="str">
        <x:v>float64</x:v>
      </x:c>
      <x:c r="E133" s="27" t="str">
        <x:v>Latest fully completed pre-transfer season feature: shots per90.</x:v>
      </x:c>
      <x:c r="F133" s="27" t="str">
        <x:v>Feature</x:v>
      </x:c>
      <x:c r="G133" s="27" t="str">
        <x:v>Must be dated before transfer_date</x:v>
      </x:c>
      <x:c r="H133" s="39" t="n">
        <x:v>1890</x:v>
      </x:c>
      <x:c r="I133" s="42" t="n">
        <x:v>0.8892145369284877</x:v>
      </x:c>
      <x:c r="J133" s="27" t="str">
        <x:v>0.87 | 1.2020701168614356 | 0.7710127931769722 | 0.8599999999999999</x:v>
      </x:c>
    </x:row>
    <x:row r="134" ht="27" customHeight="1">
      <x:c r="A134" s="36" t="n">
        <x:v>130</x:v>
      </x:c>
      <x:c r="B134" s="27" t="str">
        <x:v>preseason_goals_per_shot</x:v>
      </x:c>
      <x:c r="C134" s="27" t="str">
        <x:v>Pre-transfer features</x:v>
      </x:c>
      <x:c r="D134" s="27" t="str">
        <x:v>float64</x:v>
      </x:c>
      <x:c r="E134" s="27" t="str">
        <x:v>Latest fully completed pre-transfer season feature: goals per shot.</x:v>
      </x:c>
      <x:c r="F134" s="27" t="str">
        <x:v>Feature</x:v>
      </x:c>
      <x:c r="G134" s="27" t="str">
        <x:v>Must be dated before transfer_date</x:v>
      </x:c>
      <x:c r="H134" s="39" t="n">
        <x:v>1890</x:v>
      </x:c>
      <x:c r="I134" s="42" t="n">
        <x:v>0.8892145369284877</x:v>
      </x:c>
      <x:c r="J134" s="27" t="str">
        <x:v>0.26 | 0.0624373956594324 | 0.13 | 0.09</x:v>
      </x:c>
    </x:row>
    <x:row r="135" ht="27" customHeight="1">
      <x:c r="A135" s="36" t="n">
        <x:v>131</x:v>
      </x:c>
      <x:c r="B135" s="27" t="str">
        <x:v>preseason_goals_per_shot_on_target</x:v>
      </x:c>
      <x:c r="C135" s="27" t="str">
        <x:v>Pre-transfer features</x:v>
      </x:c>
      <x:c r="D135" s="27" t="str">
        <x:v>float64</x:v>
      </x:c>
      <x:c r="E135" s="27" t="str">
        <x:v>Latest fully completed pre-transfer season feature: goals per shot on target.</x:v>
      </x:c>
      <x:c r="F135" s="27" t="str">
        <x:v>Feature</x:v>
      </x:c>
      <x:c r="G135" s="27" t="str">
        <x:v>Must be dated before transfer_date</x:v>
      </x:c>
      <x:c r="H135" s="39" t="n">
        <x:v>1890</x:v>
      </x:c>
      <x:c r="I135" s="42" t="n">
        <x:v>0.8892145369284877</x:v>
      </x:c>
      <x:c r="J135" s="27" t="str">
        <x:v>0.67 | 0.19252086811352254 | 0.25 | 0.3</x:v>
      </x:c>
    </x:row>
    <x:row r="136" ht="27" customHeight="1">
      <x:c r="A136" s="36" t="n">
        <x:v>132</x:v>
      </x:c>
      <x:c r="B136" s="27" t="str">
        <x:v>preseason_pct_aerial_duels_won</x:v>
      </x:c>
      <x:c r="C136" s="27" t="str">
        <x:v>Pre-transfer features</x:v>
      </x:c>
      <x:c r="D136" s="27" t="str">
        <x:v>float64</x:v>
      </x:c>
      <x:c r="E136" s="27" t="str">
        <x:v>Latest fully completed pre-transfer season feature: pct aerial duels won.</x:v>
      </x:c>
      <x:c r="F136" s="27" t="str">
        <x:v>Feature</x:v>
      </x:c>
      <x:c r="G136" s="27" t="str">
        <x:v>Must be dated before transfer_date</x:v>
      </x:c>
      <x:c r="H136" s="39" t="n">
        <x:v>1890</x:v>
      </x:c>
      <x:c r="I136" s="42" t="n">
        <x:v>0.8892145369284877</x:v>
      </x:c>
      <x:c r="J136" s="27" t="str">
        <x:v>33.8 | 31.668948247078458 | 15.336673773987208 | 13.299999999999999</x:v>
      </x:c>
    </x:row>
    <x:row r="137" ht="27" customHeight="1">
      <x:c r="A137" s="36" t="n">
        <x:v>133</x:v>
      </x:c>
      <x:c r="B137" s="27" t="str">
        <x:v>preseason_shot_creating_actions_per90</x:v>
      </x:c>
      <x:c r="C137" s="27" t="str">
        <x:v>Pre-transfer features</x:v>
      </x:c>
      <x:c r="D137" s="27" t="str">
        <x:v>float64</x:v>
      </x:c>
      <x:c r="E137" s="27" t="str">
        <x:v>Latest fully completed pre-transfer season feature: shot creating actions per90.</x:v>
      </x:c>
      <x:c r="F137" s="27" t="str">
        <x:v>Feature</x:v>
      </x:c>
      <x:c r="G137" s="27" t="str">
        <x:v>Must be dated before transfer_date</x:v>
      </x:c>
      <x:c r="H137" s="39" t="n">
        <x:v>1890</x:v>
      </x:c>
      <x:c r="I137" s="42" t="n">
        <x:v>0.8892145369284877</x:v>
      </x:c>
      <x:c r="J137" s="27" t="str">
        <x:v>2.27 | 2.102904841402337 | 3.359125799573561 | 3.85</x:v>
      </x:c>
    </x:row>
    <x:row r="138" ht="27" customHeight="1">
      <x:c r="A138" s="36" t="n">
        <x:v>134</x:v>
      </x:c>
      <x:c r="B138" s="27" t="str">
        <x:v>preseason_goal_creating_actions_per90</x:v>
      </x:c>
      <x:c r="C138" s="27" t="str">
        <x:v>Pre-transfer features</x:v>
      </x:c>
      <x:c r="D138" s="27" t="str">
        <x:v>float64</x:v>
      </x:c>
      <x:c r="E138" s="27" t="str">
        <x:v>Latest fully completed pre-transfer season feature: goal creating actions per90.</x:v>
      </x:c>
      <x:c r="F138" s="27" t="str">
        <x:v>Feature</x:v>
      </x:c>
      <x:c r="G138" s="27" t="str">
        <x:v>Must be dated before transfer_date</x:v>
      </x:c>
      <x:c r="H138" s="39" t="n">
        <x:v>1890</x:v>
      </x:c>
      <x:c r="I138" s="42" t="n">
        <x:v>0.8892145369284877</x:v>
      </x:c>
      <x:c r="J138" s="27" t="str">
        <x:v>0.58 | 0.2250417362270451 | 0.19391257995735606 | 0.48000000000000004</x:v>
      </x:c>
    </x:row>
    <x:row r="139" ht="27" customHeight="1">
      <x:c r="A139" s="36" t="n">
        <x:v>135</x:v>
      </x:c>
      <x:c r="B139" s="27" t="str">
        <x:v>preseason_feature_aggregation_note</x:v>
      </x:c>
      <x:c r="C139" s="27" t="str">
        <x:v>Pre-transfer features</x:v>
      </x:c>
      <x:c r="D139" s="27" t="str">
        <x:v>str</x:v>
      </x:c>
      <x:c r="E139" s="27" t="str">
        <x:v>Latest fully completed pre-transfer season feature: feature aggregation note.</x:v>
      </x:c>
      <x:c r="F139" s="27" t="str">
        <x:v>Feature</x:v>
      </x:c>
      <x:c r="G139" s="27" t="str">
        <x:v>Must be dated before transfer_date</x:v>
      </x:c>
      <x:c r="H139" s="39" t="n">
        <x:v>1890</x:v>
      </x:c>
      <x:c r="I139" s="42" t="n">
        <x:v>0.8892145369284877</x:v>
      </x:c>
      <x:c r="J139" s="27" t="str">
        <x:v>Counts summed across player-season rows; rates/percentages minutes-weighted; goa</x:v>
      </x:c>
    </x:row>
    <x:row r="140" ht="27" customHeight="1">
      <x:c r="A140" s="36" t="n">
        <x:v>136</x:v>
      </x:c>
      <x:c r="B140" s="27" t="str">
        <x:v>post12_nearest_valuation_eur</x:v>
      </x:c>
      <x:c r="C140" s="27" t="str">
        <x:v>Outcome candidates</x:v>
      </x:c>
      <x:c r="D140" s="27" t="str">
        <x:v>float64</x:v>
      </x:c>
      <x:c r="E140" s="27" t="str">
        <x:v>Twelve-month valuation field: nearest valuation eur.</x:v>
      </x:c>
      <x:c r="F140" s="27" t="str">
        <x:v>Target/diagnostic</x:v>
      </x:c>
      <x:c r="G140" s="27" t="str">
        <x:v>Post-transfer only; never use as a prediction feature</x:v>
      </x:c>
      <x:c r="H140" s="39" t="n">
        <x:v>16025</x:v>
      </x:c>
      <x:c r="I140" s="42" t="n">
        <x:v>0.06066822977725674</x:v>
      </x:c>
      <x:c r="J140" s="27" t="str">
        <x:v>100000.0 | 700000.0 | 50000.0 | 300000.0</x:v>
      </x:c>
    </x:row>
    <x:row r="141" ht="27" customHeight="1">
      <x:c r="A141" s="36" t="n">
        <x:v>137</x:v>
      </x:c>
      <x:c r="B141" s="27" t="str">
        <x:v>post24_nearest_valuation_eur</x:v>
      </x:c>
      <x:c r="C141" s="27" t="str">
        <x:v>Outcome candidates</x:v>
      </x:c>
      <x:c r="D141" s="27" t="str">
        <x:v>float64</x:v>
      </x:c>
      <x:c r="E141" s="27" t="str">
        <x:v>Twenty-four-month valuation field: nearest valuation eur.</x:v>
      </x:c>
      <x:c r="F141" s="27" t="str">
        <x:v>Target/diagnostic</x:v>
      </x:c>
      <x:c r="G141" s="27" t="str">
        <x:v>Post-transfer only; never use as a prediction feature</x:v>
      </x:c>
      <x:c r="H141" s="39" t="n">
        <x:v>16025</x:v>
      </x:c>
      <x:c r="I141" s="42" t="n">
        <x:v>0.06066822977725674</x:v>
      </x:c>
      <x:c r="J141" s="27" t="str">
        <x:v>100000.0 | 700000.0 | 50000.0 | 300000.0</x:v>
      </x:c>
    </x:row>
    <x:row r="142" ht="27" customHeight="1">
      <x:c r="A142" s="36" t="n">
        <x:v>138</x:v>
      </x:c>
      <x:c r="B142" s="27" t="str">
        <x:v>has_post12_valuation_60d</x:v>
      </x:c>
      <x:c r="C142" s="27" t="str">
        <x:v>Eligibility and quality</x:v>
      </x:c>
      <x:c r="D142" s="27" t="str">
        <x:v>bool</x:v>
      </x:c>
      <x:c r="E142" s="27" t="str">
        <x:v>Boolean data-availability, coverage, or quality flag described by the field name.</x:v>
      </x:c>
      <x:c r="F142" s="27" t="str">
        <x:v>Filter/diagnostic</x:v>
      </x:c>
      <x:c r="G142" s="27" t="str">
        <x:v>Defines sample membership; not a substantive predictor</x:v>
      </x:c>
      <x:c r="H142" s="39" t="n">
        <x:v>17060</x:v>
      </x:c>
      <x:c r="I142" s="42" t="n">
        <x:v>0</x:v>
      </x:c>
      <x:c r="J142" s="27" t="str">
        <x:v>False | True</x:v>
      </x:c>
    </x:row>
    <x:row r="143" ht="27" customHeight="1">
      <x:c r="A143" s="36" t="n">
        <x:v>139</x:v>
      </x:c>
      <x:c r="B143" s="27" t="str">
        <x:v>has_post12_valuation_120d</x:v>
      </x:c>
      <x:c r="C143" s="27" t="str">
        <x:v>Eligibility and quality</x:v>
      </x:c>
      <x:c r="D143" s="27" t="str">
        <x:v>bool</x:v>
      </x:c>
      <x:c r="E143" s="27" t="str">
        <x:v>Boolean data-availability, coverage, or quality flag described by the field name.</x:v>
      </x:c>
      <x:c r="F143" s="27" t="str">
        <x:v>Filter/diagnostic</x:v>
      </x:c>
      <x:c r="G143" s="27" t="str">
        <x:v>Defines sample membership; not a substantive predictor</x:v>
      </x:c>
      <x:c r="H143" s="39" t="n">
        <x:v>17060</x:v>
      </x:c>
      <x:c r="I143" s="42" t="n">
        <x:v>0</x:v>
      </x:c>
      <x:c r="J143" s="27" t="str">
        <x:v>False | True</x:v>
      </x:c>
    </x:row>
    <x:row r="144" ht="27" customHeight="1">
      <x:c r="A144" s="36" t="n">
        <x:v>140</x:v>
      </x:c>
      <x:c r="B144" s="27" t="str">
        <x:v>has_post12_valuation_180d</x:v>
      </x:c>
      <x:c r="C144" s="27" t="str">
        <x:v>Eligibility and quality</x:v>
      </x:c>
      <x:c r="D144" s="27" t="str">
        <x:v>bool</x:v>
      </x:c>
      <x:c r="E144" s="27" t="str">
        <x:v>Boolean data-availability, coverage, or quality flag described by the field name.</x:v>
      </x:c>
      <x:c r="F144" s="27" t="str">
        <x:v>Filter/diagnostic</x:v>
      </x:c>
      <x:c r="G144" s="27" t="str">
        <x:v>Defines sample membership; not a substantive predictor</x:v>
      </x:c>
      <x:c r="H144" s="39" t="n">
        <x:v>17060</x:v>
      </x:c>
      <x:c r="I144" s="42" t="n">
        <x:v>0</x:v>
      </x:c>
      <x:c r="J144" s="27" t="str">
        <x:v>False | True</x:v>
      </x:c>
    </x:row>
    <x:row r="145" ht="27" customHeight="1">
      <x:c r="A145" s="36" t="n">
        <x:v>141</x:v>
      </x:c>
      <x:c r="B145" s="27" t="str">
        <x:v>has_post24_valuation_60d</x:v>
      </x:c>
      <x:c r="C145" s="27" t="str">
        <x:v>Eligibility and quality</x:v>
      </x:c>
      <x:c r="D145" s="27" t="str">
        <x:v>bool</x:v>
      </x:c>
      <x:c r="E145" s="27" t="str">
        <x:v>Boolean data-availability, coverage, or quality flag described by the field name.</x:v>
      </x:c>
      <x:c r="F145" s="27" t="str">
        <x:v>Filter/diagnostic</x:v>
      </x:c>
      <x:c r="G145" s="27" t="str">
        <x:v>Defines sample membership; not a substantive predictor</x:v>
      </x:c>
      <x:c r="H145" s="39" t="n">
        <x:v>17060</x:v>
      </x:c>
      <x:c r="I145" s="42" t="n">
        <x:v>0</x:v>
      </x:c>
      <x:c r="J145" s="27" t="str">
        <x:v>False | True</x:v>
      </x:c>
    </x:row>
    <x:row r="146" ht="27" customHeight="1">
      <x:c r="A146" s="36" t="n">
        <x:v>142</x:v>
      </x:c>
      <x:c r="B146" s="27" t="str">
        <x:v>has_post24_valuation_120d</x:v>
      </x:c>
      <x:c r="C146" s="27" t="str">
        <x:v>Eligibility and quality</x:v>
      </x:c>
      <x:c r="D146" s="27" t="str">
        <x:v>bool</x:v>
      </x:c>
      <x:c r="E146" s="27" t="str">
        <x:v>Boolean data-availability, coverage, or quality flag described by the field name.</x:v>
      </x:c>
      <x:c r="F146" s="27" t="str">
        <x:v>Filter/diagnostic</x:v>
      </x:c>
      <x:c r="G146" s="27" t="str">
        <x:v>Defines sample membership; not a substantive predictor</x:v>
      </x:c>
      <x:c r="H146" s="39" t="n">
        <x:v>17060</x:v>
      </x:c>
      <x:c r="I146" s="42" t="n">
        <x:v>0</x:v>
      </x:c>
      <x:c r="J146" s="27" t="str">
        <x:v>False | True</x:v>
      </x:c>
    </x:row>
    <x:row r="147" ht="27" customHeight="1">
      <x:c r="A147" s="36" t="n">
        <x:v>143</x:v>
      </x:c>
      <x:c r="B147" s="27" t="str">
        <x:v>has_post24_valuation_180d</x:v>
      </x:c>
      <x:c r="C147" s="27" t="str">
        <x:v>Eligibility and quality</x:v>
      </x:c>
      <x:c r="D147" s="27" t="str">
        <x:v>bool</x:v>
      </x:c>
      <x:c r="E147" s="27" t="str">
        <x:v>Boolean data-availability, coverage, or quality flag described by the field name.</x:v>
      </x:c>
      <x:c r="F147" s="27" t="str">
        <x:v>Filter/diagnostic</x:v>
      </x:c>
      <x:c r="G147" s="27" t="str">
        <x:v>Defines sample membership; not a substantive predictor</x:v>
      </x:c>
      <x:c r="H147" s="39" t="n">
        <x:v>17060</x:v>
      </x:c>
      <x:c r="I147" s="42" t="n">
        <x:v>0</x:v>
      </x:c>
      <x:c r="J147" s="27" t="str">
        <x:v>False | True</x:v>
      </x:c>
    </x:row>
    <x:row r="148" ht="27" customHeight="1">
      <x:c r="A148" s="36" t="n">
        <x:v>144</x:v>
      </x:c>
      <x:c r="B148" s="27" t="str">
        <x:v>pre365_yellow_cards</x:v>
      </x:c>
      <x:c r="C148" s="27" t="str">
        <x:v>Pre-transfer features</x:v>
      </x:c>
      <x:c r="D148" s="27" t="str">
        <x:v>float64</x:v>
      </x:c>
      <x:c r="E148" s="27" t="str">
        <x:v>Player performance during days -365 through -1 relative to transfer: yellow cards.</x:v>
      </x:c>
      <x:c r="F148" s="27" t="str">
        <x:v>Feature</x:v>
      </x:c>
      <x:c r="G148" s="27" t="str">
        <x:v>Must be dated before transfer_date</x:v>
      </x:c>
      <x:c r="H148" s="39" t="n">
        <x:v>17060</x:v>
      </x:c>
      <x:c r="I148" s="42" t="n">
        <x:v>0</x:v>
      </x:c>
      <x:c r="J148" s="27" t="str">
        <x:v>0.0 | 6.0 | 7.0 | 8.0</x:v>
      </x:c>
    </x:row>
    <x:row r="149" ht="27" customHeight="1">
      <x:c r="A149" s="36" t="n">
        <x:v>145</x:v>
      </x:c>
      <x:c r="B149" s="27" t="str">
        <x:v>pre365_red_cards</x:v>
      </x:c>
      <x:c r="C149" s="27" t="str">
        <x:v>Pre-transfer features</x:v>
      </x:c>
      <x:c r="D149" s="27" t="str">
        <x:v>float64</x:v>
      </x:c>
      <x:c r="E149" s="27" t="str">
        <x:v>Player performance during days -365 through -1 relative to transfer: red cards.</x:v>
      </x:c>
      <x:c r="F149" s="27" t="str">
        <x:v>Feature</x:v>
      </x:c>
      <x:c r="G149" s="27" t="str">
        <x:v>Must be dated before transfer_date</x:v>
      </x:c>
      <x:c r="H149" s="39" t="n">
        <x:v>17060</x:v>
      </x:c>
      <x:c r="I149" s="42" t="n">
        <x:v>0</x:v>
      </x:c>
      <x:c r="J149" s="27" t="str">
        <x:v>0.0 | 1.0 | 2.0</x:v>
      </x:c>
    </x:row>
    <x:row r="150" ht="27" customHeight="1">
      <x:c r="A150" s="36" t="n">
        <x:v>146</x:v>
      </x:c>
      <x:c r="B150" s="27" t="str">
        <x:v>post12_dest_yellow_cards</x:v>
      </x:c>
      <x:c r="C150" s="27" t="str">
        <x:v>Outcome candidates</x:v>
      </x:c>
      <x:c r="D150" s="27" t="str">
        <x:v>float64</x:v>
      </x:c>
      <x:c r="E150" s="27" t="str">
        <x:v>Destination-club player outcome during months 0-12 after transfer: yellow cards.</x:v>
      </x:c>
      <x:c r="F150" s="27" t="str">
        <x:v>Target/diagnostic</x:v>
      </x:c>
      <x:c r="G150" s="27" t="str">
        <x:v>Post-transfer only; never use as a prediction feature</x:v>
      </x:c>
      <x:c r="H150" s="39" t="n">
        <x:v>17060</x:v>
      </x:c>
      <x:c r="I150" s="42" t="n">
        <x:v>0</x:v>
      </x:c>
      <x:c r="J150" s="27" t="str">
        <x:v>0.0 | 1.0 | 6.0 | 4.0</x:v>
      </x:c>
    </x:row>
    <x:row r="151" ht="27" customHeight="1">
      <x:c r="A151" s="36" t="n">
        <x:v>147</x:v>
      </x:c>
      <x:c r="B151" s="27" t="str">
        <x:v>post12_dest_red_cards</x:v>
      </x:c>
      <x:c r="C151" s="27" t="str">
        <x:v>Outcome candidates</x:v>
      </x:c>
      <x:c r="D151" s="27" t="str">
        <x:v>float64</x:v>
      </x:c>
      <x:c r="E151" s="27" t="str">
        <x:v>Destination-club player outcome during months 0-12 after transfer: red cards.</x:v>
      </x:c>
      <x:c r="F151" s="27" t="str">
        <x:v>Target/diagnostic</x:v>
      </x:c>
      <x:c r="G151" s="27" t="str">
        <x:v>Post-transfer only; never use as a prediction feature</x:v>
      </x:c>
      <x:c r="H151" s="39" t="n">
        <x:v>17060</x:v>
      </x:c>
      <x:c r="I151" s="42" t="n">
        <x:v>0</x:v>
      </x:c>
      <x:c r="J151" s="27" t="str">
        <x:v>0.0 | 1.0 | 2.0</x:v>
      </x:c>
    </x:row>
    <x:row r="152" ht="27" customHeight="1">
      <x:c r="A152" s="36" t="n">
        <x:v>148</x:v>
      </x:c>
      <x:c r="B152" s="27" t="str">
        <x:v>post24_dest_yellow_cards</x:v>
      </x:c>
      <x:c r="C152" s="27" t="str">
        <x:v>Outcome candidates</x:v>
      </x:c>
      <x:c r="D152" s="27" t="str">
        <x:v>float64</x:v>
      </x:c>
      <x:c r="E152" s="27" t="str">
        <x:v>Destination-club player outcome during months 0-24 after transfer: yellow cards.</x:v>
      </x:c>
      <x:c r="F152" s="27" t="str">
        <x:v>Target/diagnostic</x:v>
      </x:c>
      <x:c r="G152" s="27" t="str">
        <x:v>Post-transfer only; never use as a prediction feature</x:v>
      </x:c>
      <x:c r="H152" s="39" t="n">
        <x:v>17060</x:v>
      </x:c>
      <x:c r="I152" s="42" t="n">
        <x:v>0</x:v>
      </x:c>
      <x:c r="J152" s="27" t="str">
        <x:v>0.0 | 1.0 | 6.0 | 4.0</x:v>
      </x:c>
    </x:row>
    <x:row r="153" ht="27" customHeight="1">
      <x:c r="A153" s="37" t="n">
        <x:v>149</x:v>
      </x:c>
      <x:c r="B153" s="28" t="str">
        <x:v>post24_dest_red_cards</x:v>
      </x:c>
      <x:c r="C153" s="28" t="str">
        <x:v>Outcome candidates</x:v>
      </x:c>
      <x:c r="D153" s="28" t="str">
        <x:v>float64</x:v>
      </x:c>
      <x:c r="E153" s="28" t="str">
        <x:v>Destination-club player outcome during months 0-24 after transfer: red cards.</x:v>
      </x:c>
      <x:c r="F153" s="28" t="str">
        <x:v>Target/diagnostic</x:v>
      </x:c>
      <x:c r="G153" s="28" t="str">
        <x:v>Post-transfer only; never use as a prediction feature</x:v>
      </x:c>
      <x:c r="H153" s="40" t="n">
        <x:v>17060</x:v>
      </x:c>
      <x:c r="I153" s="43" t="n">
        <x:v>0</x:v>
      </x:c>
      <x:c r="J153" s="28" t="str">
        <x:v>0.0 | 1.0 | 2.0 | 3.0</x:v>
      </x:c>
    </x:row>
  </x:sheetData>
  <x:mergeCells>
    <x:mergeCell ref="A1:J1"/>
    <x:mergeCell ref="A2:J2"/>
  </x:mergeCells>
  <x:conditionalFormatting sqref="F5:F153">
    <x:cfRule type="containsText" dxfId="3" priority="1" operator="containsText" text="Target"/>
    <x:cfRule type="containsText" dxfId="4" priority="2" operator="containsText" text="Feature"/>
  </x:conditionalFormatting>
  <x:pageMargins left="0.7" right="0.7" top="0.75" bottom="0.75" header="0.3" footer="0.3"/>
  <x:tableParts count="1">
    <x:tablePart xmlns:r="http://schemas.openxmlformats.org/officeDocument/2006/relationships" r:id="R1056fc6a909f4b8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15" hidden="0" customWidth="1"/>
    <x:col min="4" max="4" width="13" hidden="0" customWidth="1"/>
    <x:col min="5" max="5" width="30" hidden="0" customWidth="1"/>
    <x:col min="6" max="6" width="30" hidden="0" customWidth="1"/>
    <x:col min="7" max="7" width="17" hidden="0" customWidth="1"/>
    <x:col min="8" max="8" width="15" hidden="0" customWidth="1"/>
    <x:col min="9" max="9" width="10" hidden="0" customWidth="1"/>
    <x:col min="10" max="10" width="14" hidden="0" customWidth="1"/>
    <x:col min="11" max="11" width="16" hidden="0" customWidth="1"/>
    <x:col min="12" max="12" width="18" hidden="0" customWidth="1"/>
    <x:col min="13" max="13" width="18" hidden="0" customWidth="1"/>
    <x:col min="14" max="14" width="24" hidden="0" customWidth="1"/>
    <x:col min="15" max="15" width="20" hidden="0" customWidth="1"/>
    <x:col min="16" max="16" width="15" hidden="0" customWidth="1"/>
    <x:col min="17" max="17" width="20" hidden="0" customWidth="1"/>
    <x:col min="18" max="18" width="20" hidden="0" customWidth="1"/>
    <x:col min="19" max="19" width="31" hidden="0" customWidth="1"/>
    <x:col min="20" max="20" width="62" hidden="0" customWidth="1"/>
  </x:cols>
  <x:sheetData>
    <x:row r="1" ht="30" customHeight="1">
      <x:c r="A1" s="3" t="str">
        <x:v>Cohort Sample</x:v>
      </x:c>
    </x:row>
    <x:row r="2" ht="32" customHeight="1">
      <x:c r="A2" s="7" t="str">
        <x:v>Stratified sample of up to 25 transfers per cohort tier. The complete 17,060-row, 149-field dataset is stored in data/processed/transfer_cohort_master.csv.</x:v>
      </x:c>
    </x:row>
    <x:row r="4" ht="34" customHeight="1">
      <x:c r="A4" s="16" t="str">
        <x:v>Transfer Event ID</x:v>
      </x:c>
      <x:c r="B4" s="17" t="str">
        <x:v>Player</x:v>
      </x:c>
      <x:c r="C4" s="17" t="str">
        <x:v>Transfer Date</x:v>
      </x:c>
      <x:c r="D4" s="17" t="str">
        <x:v>Season</x:v>
      </x:c>
      <x:c r="E4" s="17" t="str">
        <x:v>From Club</x:v>
      </x:c>
      <x:c r="F4" s="17" t="str">
        <x:v>To Club</x:v>
      </x:c>
      <x:c r="G4" s="17" t="str">
        <x:v>Fee (EUR)</x:v>
      </x:c>
      <x:c r="H4" s="17" t="str">
        <x:v>Fee Status</x:v>
      </x:c>
      <x:c r="I4" s="17" t="str">
        <x:v>Age</x:v>
      </x:c>
      <x:c r="J4" s="17" t="str">
        <x:v>Prior Season</x:v>
      </x:c>
      <x:c r="K4" s="17" t="str">
        <x:v>Prior Minutes</x:v>
      </x:c>
      <x:c r="L4" s="17" t="str">
        <x:v>Pre Value (EUR)</x:v>
      </x:c>
      <x:c r="M4" s="17" t="str">
        <x:v>24m Value (EUR)</x:v>
      </x:c>
      <x:c r="N4" s="17" t="str">
        <x:v>24m Destination Minutes</x:v>
      </x:c>
      <x:c r="O4" s="17" t="str">
        <x:v>Destination Games 24m</x:v>
      </x:c>
      <x:c r="P4" s="17" t="str">
        <x:v>Sporting 24m</x:v>
      </x:c>
      <x:c r="Q4" s="17" t="str">
        <x:v>Financial 24m (Prov.)</x:v>
      </x:c>
      <x:c r="R4" s="17" t="str">
        <x:v>Combined 24m (Prov.)</x:v>
      </x:c>
      <x:c r="S4" s="17" t="str">
        <x:v>Tier</x:v>
      </x:c>
      <x:c r="T4" s="18" t="str">
        <x:v>Exclusion Reasons</x:v>
      </x:c>
    </x:row>
    <x:row r="5" ht="27" customHeight="1">
      <x:c r="A5" s="26" t="str">
        <x:v>1104249_20180701_53955_75</x:v>
      </x:c>
      <x:c r="B5" s="26" t="str">
        <x:v>Afonso Monteiro</x:v>
      </x:c>
      <x:c r="C5" s="26" t="str">
        <x:v>2018-07-01</x:v>
      </x:c>
      <x:c r="D5" s="26" t="str">
        <x:v>18/19</x:v>
      </x:c>
      <x:c r="E5" s="26" t="str">
        <x:v>Benfica Yth</x:v>
      </x:c>
      <x:c r="F5" s="26" t="str">
        <x:v>Unknown</x:v>
      </x:c>
      <x:c r="G5" s="44"/>
      <x:c r="H5" s="26" t="str">
        <x:v>missing</x:v>
      </x:c>
      <x:c r="I5" s="58" t="n">
        <x:v>13.010534097209389</x:v>
      </x:c>
      <x:c r="J5" s="26"/>
      <x:c r="K5" s="38"/>
      <x:c r="L5" s="44"/>
      <x:c r="M5" s="44"/>
      <x:c r="N5" s="38" t="n">
        <x:v>0</x:v>
      </x:c>
      <x:c r="O5" s="38" t="n">
        <x:v>0</x:v>
      </x:c>
      <x:c r="P5" s="55" t="b">
        <x:v>0</x:v>
      </x:c>
      <x:c r="Q5" s="55" t="b">
        <x:v>0</x:v>
      </x:c>
      <x:c r="R5" s="55" t="b">
        <x:v>0</x:v>
      </x:c>
      <x:c r="S5" s="26" t="str">
        <x:v>candidate_not_model_ready</x:v>
      </x:c>
      <x:c r="T5" s="26" t="str">
        <x:v>no_completed_seasonal_features | insufficient_destination_game_coverage_24m | fee_missing | no_pre_valuation_within_365d | no_post24_valuation_within_90d</x:v>
      </x:c>
    </x:row>
    <x:row r="6" ht="27" customHeight="1">
      <x:c r="A6" s="27" t="str">
        <x:v>1127413_20180701_119323_89843</x:v>
      </x:c>
      <x:c r="B6" s="27" t="str">
        <x:v>Amirhossein Reyvandi</x:v>
      </x:c>
      <x:c r="C6" s="27" t="str">
        <x:v>2018-07-01</x:v>
      </x:c>
      <x:c r="D6" s="27" t="str">
        <x:v>18/19</x:v>
      </x:c>
      <x:c r="E6" s="27" t="str">
        <x:v>FC KIA Youth</x:v>
      </x:c>
      <x:c r="F6" s="27" t="str">
        <x:v>KIA U17</x:v>
      </x:c>
      <x:c r="G6" s="45"/>
      <x:c r="H6" s="27" t="str">
        <x:v>missing</x:v>
      </x:c>
      <x:c r="I6" s="59" t="n">
        <x:v>14.313777832535918</x:v>
      </x:c>
      <x:c r="J6" s="27"/>
      <x:c r="K6" s="39"/>
      <x:c r="L6" s="45"/>
      <x:c r="M6" s="45"/>
      <x:c r="N6" s="39" t="n">
        <x:v>0</x:v>
      </x:c>
      <x:c r="O6" s="39" t="n">
        <x:v>0</x:v>
      </x:c>
      <x:c r="P6" s="56" t="b">
        <x:v>0</x:v>
      </x:c>
      <x:c r="Q6" s="56" t="b">
        <x:v>0</x:v>
      </x:c>
      <x:c r="R6" s="56" t="b">
        <x:v>0</x:v>
      </x:c>
      <x:c r="S6" s="27" t="str">
        <x:v>candidate_not_model_ready</x:v>
      </x:c>
      <x:c r="T6" s="27" t="str">
        <x:v>no_completed_seasonal_features | insufficient_destination_game_coverage_24m | fee_missing | no_pre_valuation_within_365d | no_post24_valuation_within_90d</x:v>
      </x:c>
    </x:row>
    <x:row r="7" ht="27" customHeight="1">
      <x:c r="A7" s="27" t="str">
        <x:v>1052290_20180701_109466_100149</x:v>
      </x:c>
      <x:c r="B7" s="27" t="str">
        <x:v>Antoine Gauthier</x:v>
      </x:c>
      <x:c r="C7" s="27" t="str">
        <x:v>2018-07-01</x:v>
      </x:c>
      <x:c r="D7" s="27" t="str">
        <x:v>18/19</x:v>
      </x:c>
      <x:c r="E7" s="27" t="str">
        <x:v>Montferrand Jgd</x:v>
      </x:c>
      <x:c r="F7" s="27" t="str">
        <x:v>ASSE Yth.</x:v>
      </x:c>
      <x:c r="G7" s="45" t="n">
        <x:v>0</x:v>
      </x:c>
      <x:c r="H7" s="27" t="str">
        <x:v>zero</x:v>
      </x:c>
      <x:c r="I7" s="59" t="n">
        <x:v>13.99891852673224</x:v>
      </x:c>
      <x:c r="J7" s="27"/>
      <x:c r="K7" s="39"/>
      <x:c r="L7" s="45"/>
      <x:c r="M7" s="45"/>
      <x:c r="N7" s="39" t="n">
        <x:v>0</x:v>
      </x:c>
      <x:c r="O7" s="39" t="n">
        <x:v>0</x:v>
      </x:c>
      <x:c r="P7" s="56" t="b">
        <x:v>0</x:v>
      </x:c>
      <x:c r="Q7" s="56" t="b">
        <x:v>0</x:v>
      </x:c>
      <x:c r="R7" s="56" t="b">
        <x:v>0</x:v>
      </x:c>
      <x:c r="S7" s="27" t="str">
        <x:v>candidate_not_model_ready</x:v>
      </x:c>
      <x:c r="T7" s="27" t="str">
        <x:v>no_completed_seasonal_features | insufficient_destination_game_coverage_24m | fee_zero_or_unclassified_movement | no_pre_valuation_within_365d | no_post24_valuation_within_90d</x:v>
      </x:c>
    </x:row>
    <x:row r="8" ht="27" customHeight="1">
      <x:c r="A8" s="27" t="str">
        <x:v>1122485_20180701_107439_105844</x:v>
      </x:c>
      <x:c r="B8" s="27" t="str">
        <x:v>Bera Çeken</x:v>
      </x:c>
      <x:c r="C8" s="27" t="str">
        <x:v>2018-07-01</x:v>
      </x:c>
      <x:c r="D8" s="27" t="str">
        <x:v>18/19</x:v>
      </x:c>
      <x:c r="E8" s="27" t="str">
        <x:v>Sandhofen Jgd.</x:v>
      </x:c>
      <x:c r="F8" s="27" t="str">
        <x:v>VfR Mannh. Jgd.</x:v>
      </x:c>
      <x:c r="G8" s="45" t="n">
        <x:v>0</x:v>
      </x:c>
      <x:c r="H8" s="27" t="str">
        <x:v>zero</x:v>
      </x:c>
      <x:c r="I8" s="59" t="n">
        <x:v>12.868162932845985</x:v>
      </x:c>
      <x:c r="J8" s="27"/>
      <x:c r="K8" s="39"/>
      <x:c r="L8" s="45"/>
      <x:c r="M8" s="45"/>
      <x:c r="N8" s="39" t="n">
        <x:v>0</x:v>
      </x:c>
      <x:c r="O8" s="39" t="n">
        <x:v>0</x:v>
      </x:c>
      <x:c r="P8" s="56" t="b">
        <x:v>0</x:v>
      </x:c>
      <x:c r="Q8" s="56" t="b">
        <x:v>0</x:v>
      </x:c>
      <x:c r="R8" s="56" t="b">
        <x:v>0</x:v>
      </x:c>
      <x:c r="S8" s="27" t="str">
        <x:v>candidate_not_model_ready</x:v>
      </x:c>
      <x:c r="T8" s="27" t="str">
        <x:v>no_completed_seasonal_features | insufficient_destination_game_coverage_24m | fee_zero_or_unclassified_movement | no_pre_valuation_within_365d | no_post24_valuation_within_90d</x:v>
      </x:c>
    </x:row>
    <x:row r="9" ht="27" customHeight="1">
      <x:c r="A9" s="27" t="str">
        <x:v>1043832_20180701_68131_68130</x:v>
      </x:c>
      <x:c r="B9" s="27" t="str">
        <x:v>Cláudio Araújo</x:v>
      </x:c>
      <x:c r="C9" s="27" t="str">
        <x:v>2018-07-01</x:v>
      </x:c>
      <x:c r="D9" s="27" t="str">
        <x:v>18/19</x:v>
      </x:c>
      <x:c r="E9" s="27" t="str">
        <x:v>Vilaverdense 15</x:v>
      </x:c>
      <x:c r="F9" s="27" t="str">
        <x:v>Vilaverdense 17</x:v>
      </x:c>
      <x:c r="G9" s="45"/>
      <x:c r="H9" s="27" t="str">
        <x:v>missing</x:v>
      </x:c>
      <x:c r="I9" s="59" t="n">
        <x:v>15.35418249519155</x:v>
      </x:c>
      <x:c r="J9" s="27"/>
      <x:c r="K9" s="39"/>
      <x:c r="L9" s="45"/>
      <x:c r="M9" s="45"/>
      <x:c r="N9" s="39" t="n">
        <x:v>0</x:v>
      </x:c>
      <x:c r="O9" s="39" t="n">
        <x:v>0</x:v>
      </x:c>
      <x:c r="P9" s="56" t="b">
        <x:v>0</x:v>
      </x:c>
      <x:c r="Q9" s="56" t="b">
        <x:v>0</x:v>
      </x:c>
      <x:c r="R9" s="56" t="b">
        <x:v>0</x:v>
      </x:c>
      <x:c r="S9" s="27" t="str">
        <x:v>candidate_not_model_ready</x:v>
      </x:c>
      <x:c r="T9" s="27" t="str">
        <x:v>no_completed_seasonal_features | insufficient_destination_game_coverage_24m | fee_missing | no_pre_valuation_within_365d | no_post24_valuation_within_90d</x:v>
      </x:c>
    </x:row>
    <x:row r="10" ht="27" customHeight="1">
      <x:c r="A10" s="27" t="str">
        <x:v>1071834_20180701_56766_56765</x:v>
      </x:c>
      <x:c r="B10" s="27" t="str">
        <x:v>Duarte Oliveira</x:v>
      </x:c>
      <x:c r="C10" s="27" t="str">
        <x:v>2018-07-01</x:v>
      </x:c>
      <x:c r="D10" s="27" t="str">
        <x:v>18/19</x:v>
      </x:c>
      <x:c r="E10" s="27" t="str">
        <x:v>FC Porto Youth</x:v>
      </x:c>
      <x:c r="F10" s="27" t="str">
        <x:v>FC Porto U15</x:v>
      </x:c>
      <x:c r="G10" s="45"/>
      <x:c r="H10" s="27" t="str">
        <x:v>missing</x:v>
      </x:c>
      <x:c r="I10" s="59" t="n">
        <x:v>13.29801433294318</x:v>
      </x:c>
      <x:c r="J10" s="27"/>
      <x:c r="K10" s="39"/>
      <x:c r="L10" s="45"/>
      <x:c r="M10" s="45"/>
      <x:c r="N10" s="39" t="n">
        <x:v>0</x:v>
      </x:c>
      <x:c r="O10" s="39" t="n">
        <x:v>0</x:v>
      </x:c>
      <x:c r="P10" s="56" t="b">
        <x:v>0</x:v>
      </x:c>
      <x:c r="Q10" s="56" t="b">
        <x:v>0</x:v>
      </x:c>
      <x:c r="R10" s="56" t="b">
        <x:v>0</x:v>
      </x:c>
      <x:c r="S10" s="27" t="str">
        <x:v>candidate_not_model_ready</x:v>
      </x:c>
      <x:c r="T10" s="27" t="str">
        <x:v>no_completed_seasonal_features | insufficient_destination_game_coverage_24m | fee_missing | no_pre_valuation_within_365d | no_post24_valuation_within_90d</x:v>
      </x:c>
    </x:row>
    <x:row r="11" ht="27" customHeight="1">
      <x:c r="A11" s="27" t="str">
        <x:v>1069449_20180701_91861_72342</x:v>
      </x:c>
      <x:c r="B11" s="27" t="str">
        <x:v>Emmanuel Adegboyega</x:v>
      </x:c>
      <x:c r="C11" s="27" t="str">
        <x:v>2018-07-01</x:v>
      </x:c>
      <x:c r="D11" s="27" t="str">
        <x:v>18/19</x:v>
      </x:c>
      <x:c r="E11" s="27" t="str">
        <x:v>Glenmuir Utd</x:v>
      </x:c>
      <x:c r="F11" s="27" t="str">
        <x:v>Warrenpoint U21</x:v>
      </x:c>
      <x:c r="G11" s="45" t="n">
        <x:v>0</x:v>
      </x:c>
      <x:c r="H11" s="27" t="str">
        <x:v>zero</x:v>
      </x:c>
      <x:c r="I11" s="59" t="n">
        <x:v>14.790173651751918</x:v>
      </x:c>
      <x:c r="J11" s="27"/>
      <x:c r="K11" s="39"/>
      <x:c r="L11" s="45"/>
      <x:c r="M11" s="45"/>
      <x:c r="N11" s="39" t="n">
        <x:v>0</x:v>
      </x:c>
      <x:c r="O11" s="39" t="n">
        <x:v>0</x:v>
      </x:c>
      <x:c r="P11" s="56" t="b">
        <x:v>0</x:v>
      </x:c>
      <x:c r="Q11" s="56" t="b">
        <x:v>0</x:v>
      </x:c>
      <x:c r="R11" s="56" t="b">
        <x:v>0</x:v>
      </x:c>
      <x:c r="S11" s="27" t="str">
        <x:v>candidate_not_model_ready</x:v>
      </x:c>
      <x:c r="T11" s="27" t="str">
        <x:v>no_completed_seasonal_features | insufficient_destination_game_coverage_24m | fee_zero_or_unclassified_movement | no_pre_valuation_within_365d | no_post24_valuation_within_90d</x:v>
      </x:c>
    </x:row>
    <x:row r="12" ht="27" customHeight="1">
      <x:c r="A12" s="27" t="str">
        <x:v>1035794_20180701_57920_56765</x:v>
      </x:c>
      <x:c r="B12" s="27" t="str">
        <x:v>Euri Carvalho</x:v>
      </x:c>
      <x:c r="C12" s="27" t="str">
        <x:v>2018-07-01</x:v>
      </x:c>
      <x:c r="D12" s="27" t="str">
        <x:v>18/19</x:v>
      </x:c>
      <x:c r="E12" s="27" t="str">
        <x:v>Moreirense S15</x:v>
      </x:c>
      <x:c r="F12" s="27" t="str">
        <x:v>FC Porto U15</x:v>
      </x:c>
      <x:c r="G12" s="45"/>
      <x:c r="H12" s="27" t="str">
        <x:v>missing</x:v>
      </x:c>
      <x:c r="I12" s="59" t="n">
        <x:v>14.368535972675687</x:v>
      </x:c>
      <x:c r="J12" s="27"/>
      <x:c r="K12" s="39"/>
      <x:c r="L12" s="45"/>
      <x:c r="M12" s="45"/>
      <x:c r="N12" s="39" t="n">
        <x:v>0</x:v>
      </x:c>
      <x:c r="O12" s="39" t="n">
        <x:v>0</x:v>
      </x:c>
      <x:c r="P12" s="56" t="b">
        <x:v>0</x:v>
      </x:c>
      <x:c r="Q12" s="56" t="b">
        <x:v>0</x:v>
      </x:c>
      <x:c r="R12" s="56" t="b">
        <x:v>0</x:v>
      </x:c>
      <x:c r="S12" s="27" t="str">
        <x:v>candidate_not_model_ready</x:v>
      </x:c>
      <x:c r="T12" s="27" t="str">
        <x:v>no_completed_seasonal_features | insufficient_destination_game_coverage_24m | fee_missing | no_pre_valuation_within_365d | no_post24_valuation_within_90d</x:v>
      </x:c>
    </x:row>
    <x:row r="13" ht="27" customHeight="1">
      <x:c r="A13" s="27" t="str">
        <x:v>105817_20180701_37772_2671</x:v>
      </x:c>
      <x:c r="B13" s="27" t="str">
        <x:v>Giannis Loukinas</x:v>
      </x:c>
      <x:c r="C13" s="27" t="str">
        <x:v>2018-07-01</x:v>
      </x:c>
      <x:c r="D13" s="27" t="str">
        <x:v>18/19</x:v>
      </x:c>
      <x:c r="E13" s="27" t="str">
        <x:v>AE Karaiskakis</x:v>
      </x:c>
      <x:c r="F13" s="27" t="str">
        <x:v>PAS Giannina</x:v>
      </x:c>
      <x:c r="G13" s="45" t="n">
        <x:v>0</x:v>
      </x:c>
      <x:c r="H13" s="27" t="str">
        <x:v>zero</x:v>
      </x:c>
      <x:c r="I13" s="59" t="n">
        <x:v>26.77946843535459</x:v>
      </x:c>
      <x:c r="J13" s="27"/>
      <x:c r="K13" s="39"/>
      <x:c r="L13" s="45" t="n">
        <x:v>350000</x:v>
      </x:c>
      <x:c r="M13" s="45" t="n">
        <x:v>300000</x:v>
      </x:c>
      <x:c r="N13" s="39" t="n">
        <x:v>234</x:v>
      </x:c>
      <x:c r="O13" s="39" t="n">
        <x:v>40</x:v>
      </x:c>
      <x:c r="P13" s="56" t="b">
        <x:v>0</x:v>
      </x:c>
      <x:c r="Q13" s="56" t="b">
        <x:v>0</x:v>
      </x:c>
      <x:c r="R13" s="56" t="b">
        <x:v>0</x:v>
      </x:c>
      <x:c r="S13" s="27" t="str">
        <x:v>candidate_not_model_ready</x:v>
      </x:c>
      <x:c r="T13" s="27" t="str">
        <x:v>no_completed_seasonal_features | fee_zero_or_unclassified_movement</x:v>
      </x:c>
    </x:row>
    <x:row r="14" ht="27" customHeight="1">
      <x:c r="A14" s="27" t="str">
        <x:v>1000136_20180701_70321_44199</x:v>
      </x:c>
      <x:c r="B14" s="27" t="str">
        <x:v>Gorka Rivera</x:v>
      </x:c>
      <x:c r="C14" s="27" t="str">
        <x:v>2018-07-01</x:v>
      </x:c>
      <x:c r="D14" s="27" t="str">
        <x:v>18/19</x:v>
      </x:c>
      <x:c r="E14" s="27" t="str">
        <x:v>R.Madrid Yth.</x:v>
      </x:c>
      <x:c r="F14" s="27" t="str">
        <x:v>Leganés Youth</x:v>
      </x:c>
      <x:c r="G14" s="45" t="n">
        <x:v>0</x:v>
      </x:c>
      <x:c r="H14" s="27" t="str">
        <x:v>zero</x:v>
      </x:c>
      <x:c r="I14" s="59" t="n">
        <x:v>13.914043409515596</x:v>
      </x:c>
      <x:c r="J14" s="27"/>
      <x:c r="K14" s="39"/>
      <x:c r="L14" s="45"/>
      <x:c r="M14" s="45"/>
      <x:c r="N14" s="39" t="n">
        <x:v>0</x:v>
      </x:c>
      <x:c r="O14" s="39" t="n">
        <x:v>0</x:v>
      </x:c>
      <x:c r="P14" s="56" t="b">
        <x:v>0</x:v>
      </x:c>
      <x:c r="Q14" s="56" t="b">
        <x:v>0</x:v>
      </x:c>
      <x:c r="R14" s="56" t="b">
        <x:v>0</x:v>
      </x:c>
      <x:c r="S14" s="27" t="str">
        <x:v>candidate_not_model_ready</x:v>
      </x:c>
      <x:c r="T14" s="27" t="str">
        <x:v>no_completed_seasonal_features | insufficient_destination_game_coverage_24m | fee_zero_or_unclassified_movement | no_pre_valuation_within_365d | no_post24_valuation_within_90d</x:v>
      </x:c>
    </x:row>
    <x:row r="15" ht="27" customHeight="1">
      <x:c r="A15" s="27" t="str">
        <x:v>1043030_20180701_93823_90199</x:v>
      </x:c>
      <x:c r="B15" s="27" t="str">
        <x:v>Guga</x:v>
      </x:c>
      <x:c r="C15" s="27" t="str">
        <x:v>2018-07-01</x:v>
      </x:c>
      <x:c r="D15" s="27" t="str">
        <x:v>18/19</x:v>
      </x:c>
      <x:c r="E15" s="27" t="str">
        <x:v>Alverca U15</x:v>
      </x:c>
      <x:c r="F15" s="27" t="str">
        <x:v>Alverca U17</x:v>
      </x:c>
      <x:c r="G15" s="45"/>
      <x:c r="H15" s="27" t="str">
        <x:v>missing</x:v>
      </x:c>
      <x:c r="I15" s="59" t="n">
        <x:v>14.688871092493343</x:v>
      </x:c>
      <x:c r="J15" s="27"/>
      <x:c r="K15" s="39"/>
      <x:c r="L15" s="45"/>
      <x:c r="M15" s="45"/>
      <x:c r="N15" s="39" t="n">
        <x:v>0</x:v>
      </x:c>
      <x:c r="O15" s="39" t="n">
        <x:v>0</x:v>
      </x:c>
      <x:c r="P15" s="56" t="b">
        <x:v>0</x:v>
      </x:c>
      <x:c r="Q15" s="56" t="b">
        <x:v>0</x:v>
      </x:c>
      <x:c r="R15" s="56" t="b">
        <x:v>0</x:v>
      </x:c>
      <x:c r="S15" s="27" t="str">
        <x:v>candidate_not_model_ready</x:v>
      </x:c>
      <x:c r="T15" s="27" t="str">
        <x:v>no_completed_seasonal_features | insufficient_destination_game_coverage_24m | fee_missing | no_pre_valuation_within_365d | no_post24_valuation_within_90d</x:v>
      </x:c>
    </x:row>
    <x:row r="16" ht="27" customHeight="1">
      <x:c r="A16" s="27" t="str">
        <x:v>1031774_20180701_25336_17474</x:v>
      </x:c>
      <x:c r="B16" s="27" t="str">
        <x:v>Jarzinho Malanga</x:v>
      </x:c>
      <x:c r="C16" s="27" t="str">
        <x:v>2018-07-01</x:v>
      </x:c>
      <x:c r="D16" s="27" t="str">
        <x:v>18/19</x:v>
      </x:c>
      <x:c r="E16" s="27" t="str">
        <x:v>Mannheim Yth.</x:v>
      </x:c>
      <x:c r="F16" s="27" t="str">
        <x:v>Hoffenheim Yth.</x:v>
      </x:c>
      <x:c r="G16" s="45" t="n">
        <x:v>0</x:v>
      </x:c>
      <x:c r="H16" s="27" t="str">
        <x:v>zero</x:v>
      </x:c>
      <x:c r="I16" s="59" t="n">
        <x:v>11.975605248567732</x:v>
      </x:c>
      <x:c r="J16" s="27"/>
      <x:c r="K16" s="39"/>
      <x:c r="L16" s="45"/>
      <x:c r="M16" s="45"/>
      <x:c r="N16" s="39" t="n">
        <x:v>0</x:v>
      </x:c>
      <x:c r="O16" s="39" t="n">
        <x:v>0</x:v>
      </x:c>
      <x:c r="P16" s="56" t="b">
        <x:v>0</x:v>
      </x:c>
      <x:c r="Q16" s="56" t="b">
        <x:v>0</x:v>
      </x:c>
      <x:c r="R16" s="56" t="b">
        <x:v>0</x:v>
      </x:c>
      <x:c r="S16" s="27" t="str">
        <x:v>candidate_not_model_ready</x:v>
      </x:c>
      <x:c r="T16" s="27" t="str">
        <x:v>no_completed_seasonal_features | insufficient_destination_game_coverage_24m | fee_zero_or_unclassified_movement | no_pre_valuation_within_365d | no_post24_valuation_within_90d</x:v>
      </x:c>
    </x:row>
    <x:row r="17" ht="27" customHeight="1">
      <x:c r="A17" s="27" t="str">
        <x:v>105695_20180701_124_11177</x:v>
      </x:c>
      <x:c r="B17" s="27" t="str">
        <x:v>Jason Holt</x:v>
      </x:c>
      <x:c r="C17" s="27" t="str">
        <x:v>2018-07-01</x:v>
      </x:c>
      <x:c r="D17" s="27" t="str">
        <x:v>18/19</x:v>
      </x:c>
      <x:c r="E17" s="27" t="str">
        <x:v>Rangers</x:v>
      </x:c>
      <x:c r="F17" s="27" t="str">
        <x:v>Fleetwood</x:v>
      </x:c>
      <x:c r="G17" s="45" t="n">
        <x:v>0</x:v>
      </x:c>
      <x:c r="H17" s="27" t="str">
        <x:v>zero</x:v>
      </x:c>
      <x:c r="I17" s="59" t="n">
        <x:v>25.361232605734546</x:v>
      </x:c>
      <x:c r="J17" s="27"/>
      <x:c r="K17" s="39"/>
      <x:c r="L17" s="45" t="n">
        <x:v>750000</x:v>
      </x:c>
      <x:c r="M17" s="45" t="n">
        <x:v>325000</x:v>
      </x:c>
      <x:c r="N17" s="39" t="n">
        <x:v>90</x:v>
      </x:c>
      <x:c r="O17" s="39" t="n">
        <x:v>6</x:v>
      </x:c>
      <x:c r="P17" s="56" t="b">
        <x:v>0</x:v>
      </x:c>
      <x:c r="Q17" s="56" t="b">
        <x:v>0</x:v>
      </x:c>
      <x:c r="R17" s="56" t="b">
        <x:v>0</x:v>
      </x:c>
      <x:c r="S17" s="27" t="str">
        <x:v>candidate_not_model_ready</x:v>
      </x:c>
      <x:c r="T17" s="27" t="str">
        <x:v>no_completed_seasonal_features | insufficient_destination_game_coverage_24m | fee_zero_or_unclassified_movement</x:v>
      </x:c>
    </x:row>
    <x:row r="18" ht="27" customHeight="1">
      <x:c r="A18" s="27" t="str">
        <x:v>1041934_20180701_40494_70321</x:v>
      </x:c>
      <x:c r="B18" s="27" t="str">
        <x:v>Jeremy Jorge</x:v>
      </x:c>
      <x:c r="C18" s="27" t="str">
        <x:v>2018-07-01</x:v>
      </x:c>
      <x:c r="D18" s="27" t="str">
        <x:v>18/19</x:v>
      </x:c>
      <x:c r="E18" s="27" t="str">
        <x:v>Las Palmas Yth.</x:v>
      </x:c>
      <x:c r="F18" s="27" t="str">
        <x:v>R.Madrid Yth.</x:v>
      </x:c>
      <x:c r="G18" s="45" t="n">
        <x:v>0</x:v>
      </x:c>
      <x:c r="H18" s="27" t="str">
        <x:v>zero</x:v>
      </x:c>
      <x:c r="I18" s="59" t="n">
        <x:v>15.3897752862824</x:v>
      </x:c>
      <x:c r="J18" s="27"/>
      <x:c r="K18" s="39"/>
      <x:c r="L18" s="45"/>
      <x:c r="M18" s="45"/>
      <x:c r="N18" s="39" t="n">
        <x:v>0</x:v>
      </x:c>
      <x:c r="O18" s="39" t="n">
        <x:v>0</x:v>
      </x:c>
      <x:c r="P18" s="56" t="b">
        <x:v>0</x:v>
      </x:c>
      <x:c r="Q18" s="56" t="b">
        <x:v>0</x:v>
      </x:c>
      <x:c r="R18" s="56" t="b">
        <x:v>0</x:v>
      </x:c>
      <x:c r="S18" s="27" t="str">
        <x:v>candidate_not_model_ready</x:v>
      </x:c>
      <x:c r="T18" s="27" t="str">
        <x:v>no_completed_seasonal_features | insufficient_destination_game_coverage_24m | fee_zero_or_unclassified_movement | no_pre_valuation_within_365d | no_post24_valuation_within_90d</x:v>
      </x:c>
    </x:row>
    <x:row r="19" ht="27" customHeight="1">
      <x:c r="A19" s="27" t="str">
        <x:v>1041543_20180701_58744_61507</x:v>
      </x:c>
      <x:c r="B19" s="27" t="str">
        <x:v>João Santos</x:v>
      </x:c>
      <x:c r="C19" s="27" t="str">
        <x:v>2018-07-01</x:v>
      </x:c>
      <x:c r="D19" s="27" t="str">
        <x:v>18/19</x:v>
      </x:c>
      <x:c r="E19" s="27" t="str">
        <x:v>Varzim Sub-15</x:v>
      </x:c>
      <x:c r="F19" s="27" t="str">
        <x:v>Palmeiras U17</x:v>
      </x:c>
      <x:c r="G19" s="45"/>
      <x:c r="H19" s="27" t="str">
        <x:v>missing</x:v>
      </x:c>
      <x:c r="I19" s="59" t="n">
        <x:v>15.003730398297021</x:v>
      </x:c>
      <x:c r="J19" s="27"/>
      <x:c r="K19" s="39"/>
      <x:c r="L19" s="45"/>
      <x:c r="M19" s="45"/>
      <x:c r="N19" s="39" t="n">
        <x:v>0</x:v>
      </x:c>
      <x:c r="O19" s="39" t="n">
        <x:v>0</x:v>
      </x:c>
      <x:c r="P19" s="56" t="b">
        <x:v>0</x:v>
      </x:c>
      <x:c r="Q19" s="56" t="b">
        <x:v>0</x:v>
      </x:c>
      <x:c r="R19" s="56" t="b">
        <x:v>0</x:v>
      </x:c>
      <x:c r="S19" s="27" t="str">
        <x:v>candidate_not_model_ready</x:v>
      </x:c>
      <x:c r="T19" s="27" t="str">
        <x:v>no_completed_seasonal_features | insufficient_destination_game_coverage_24m | fee_missing | no_pre_valuation_within_365d | no_post24_valuation_within_90d</x:v>
      </x:c>
    </x:row>
    <x:row r="20" ht="27" customHeight="1">
      <x:c r="A20" s="27" t="str">
        <x:v>1042715_20180701_57923_57922</x:v>
      </x:c>
      <x:c r="B20" s="27" t="str">
        <x:v>Karse</x:v>
      </x:c>
      <x:c r="C20" s="27" t="str">
        <x:v>2018-07-01</x:v>
      </x:c>
      <x:c r="D20" s="27" t="str">
        <x:v>18/19</x:v>
      </x:c>
      <x:c r="E20" s="27" t="str">
        <x:v>Rio Ave Y</x:v>
      </x:c>
      <x:c r="F20" s="27" t="str">
        <x:v>Rio Ave Sub-15</x:v>
      </x:c>
      <x:c r="G20" s="45"/>
      <x:c r="H20" s="27" t="str">
        <x:v>missing</x:v>
      </x:c>
      <x:c r="I20" s="59" t="n">
        <x:v>13.287062704915227</x:v>
      </x:c>
      <x:c r="J20" s="27"/>
      <x:c r="K20" s="39"/>
      <x:c r="L20" s="45"/>
      <x:c r="M20" s="45"/>
      <x:c r="N20" s="39" t="n">
        <x:v>0</x:v>
      </x:c>
      <x:c r="O20" s="39" t="n">
        <x:v>0</x:v>
      </x:c>
      <x:c r="P20" s="56" t="b">
        <x:v>0</x:v>
      </x:c>
      <x:c r="Q20" s="56" t="b">
        <x:v>0</x:v>
      </x:c>
      <x:c r="R20" s="56" t="b">
        <x:v>0</x:v>
      </x:c>
      <x:c r="S20" s="27" t="str">
        <x:v>candidate_not_model_ready</x:v>
      </x:c>
      <x:c r="T20" s="27" t="str">
        <x:v>no_completed_seasonal_features | insufficient_destination_game_coverage_24m | fee_missing | no_pre_valuation_within_365d | no_post24_valuation_within_90d</x:v>
      </x:c>
    </x:row>
    <x:row r="21" ht="27" customHeight="1">
      <x:c r="A21" s="27" t="str">
        <x:v>1085018_20180701_53957_50871</x:v>
      </x:c>
      <x:c r="B21" s="27" t="str">
        <x:v>Martim Almeida</x:v>
      </x:c>
      <x:c r="C21" s="27" t="str">
        <x:v>2018-07-01</x:v>
      </x:c>
      <x:c r="D21" s="27" t="str">
        <x:v>18/19</x:v>
      </x:c>
      <x:c r="E21" s="27" t="str">
        <x:v>Sporting Yth.</x:v>
      </x:c>
      <x:c r="F21" s="27" t="str">
        <x:v>CD Fátima U15</x:v>
      </x:c>
      <x:c r="G21" s="45"/>
      <x:c r="H21" s="27" t="str">
        <x:v>missing</x:v>
      </x:c>
      <x:c r="I21" s="59" t="n">
        <x:v>13.284324797908239</x:v>
      </x:c>
      <x:c r="J21" s="27"/>
      <x:c r="K21" s="39"/>
      <x:c r="L21" s="45"/>
      <x:c r="M21" s="45"/>
      <x:c r="N21" s="39" t="n">
        <x:v>0</x:v>
      </x:c>
      <x:c r="O21" s="39" t="n">
        <x:v>0</x:v>
      </x:c>
      <x:c r="P21" s="56" t="b">
        <x:v>0</x:v>
      </x:c>
      <x:c r="Q21" s="56" t="b">
        <x:v>0</x:v>
      </x:c>
      <x:c r="R21" s="56" t="b">
        <x:v>0</x:v>
      </x:c>
      <x:c r="S21" s="27" t="str">
        <x:v>candidate_not_model_ready</x:v>
      </x:c>
      <x:c r="T21" s="27" t="str">
        <x:v>no_completed_seasonal_features | insufficient_destination_game_coverage_24m | fee_missing | no_pre_valuation_within_365d | no_post24_valuation_within_90d</x:v>
      </x:c>
    </x:row>
    <x:row r="22" ht="27" customHeight="1">
      <x:c r="A22" s="27" t="str">
        <x:v>1071606_20180701_93827_93826</x:v>
      </x:c>
      <x:c r="B22" s="27" t="str">
        <x:v>Miguel Rebelo</x:v>
      </x:c>
      <x:c r="C22" s="27" t="str">
        <x:v>2018-07-01</x:v>
      </x:c>
      <x:c r="D22" s="27" t="str">
        <x:v>18/19</x:v>
      </x:c>
      <x:c r="E22" s="27" t="str">
        <x:v>Caldas U15</x:v>
      </x:c>
      <x:c r="F22" s="27" t="str">
        <x:v>Caldas U17</x:v>
      </x:c>
      <x:c r="G22" s="45"/>
      <x:c r="H22" s="27" t="str">
        <x:v>missing</x:v>
      </x:c>
      <x:c r="I22" s="59" t="n">
        <x:v>14.798387372772883</x:v>
      </x:c>
      <x:c r="J22" s="27"/>
      <x:c r="K22" s="39"/>
      <x:c r="L22" s="45"/>
      <x:c r="M22" s="45"/>
      <x:c r="N22" s="39" t="n">
        <x:v>0</x:v>
      </x:c>
      <x:c r="O22" s="39" t="n">
        <x:v>0</x:v>
      </x:c>
      <x:c r="P22" s="56" t="b">
        <x:v>0</x:v>
      </x:c>
      <x:c r="Q22" s="56" t="b">
        <x:v>0</x:v>
      </x:c>
      <x:c r="R22" s="56" t="b">
        <x:v>0</x:v>
      </x:c>
      <x:c r="S22" s="27" t="str">
        <x:v>candidate_not_model_ready</x:v>
      </x:c>
      <x:c r="T22" s="27" t="str">
        <x:v>no_completed_seasonal_features | insufficient_destination_game_coverage_24m | fee_missing | no_pre_valuation_within_365d | no_post24_valuation_within_90d</x:v>
      </x:c>
    </x:row>
    <x:row r="23" ht="27" customHeight="1">
      <x:c r="A23" s="27" t="str">
        <x:v>1093482_20180701_109240_100158</x:v>
      </x:c>
      <x:c r="B23" s="27" t="str">
        <x:v>Nicolas Pays</x:v>
      </x:c>
      <x:c r="C23" s="27" t="str">
        <x:v>2018-07-01</x:v>
      </x:c>
      <x:c r="D23" s="27" t="str">
        <x:v>18/19</x:v>
      </x:c>
      <x:c r="E23" s="27" t="str">
        <x:v>Le Puy Foot Jgd</x:v>
      </x:c>
      <x:c r="F23" s="27" t="str">
        <x:v>Clermont For.</x:v>
      </x:c>
      <x:c r="G23" s="45" t="n">
        <x:v>0</x:v>
      </x:c>
      <x:c r="H23" s="27" t="str">
        <x:v>zero</x:v>
      </x:c>
      <x:c r="I23" s="59" t="n">
        <x:v>14.984565049248102</x:v>
      </x:c>
      <x:c r="J23" s="27"/>
      <x:c r="K23" s="39"/>
      <x:c r="L23" s="45"/>
      <x:c r="M23" s="45"/>
      <x:c r="N23" s="39" t="n">
        <x:v>0</x:v>
      </x:c>
      <x:c r="O23" s="39" t="n">
        <x:v>0</x:v>
      </x:c>
      <x:c r="P23" s="56" t="b">
        <x:v>0</x:v>
      </x:c>
      <x:c r="Q23" s="56" t="b">
        <x:v>0</x:v>
      </x:c>
      <x:c r="R23" s="56" t="b">
        <x:v>0</x:v>
      </x:c>
      <x:c r="S23" s="27" t="str">
        <x:v>candidate_not_model_ready</x:v>
      </x:c>
      <x:c r="T23" s="27" t="str">
        <x:v>no_completed_seasonal_features | insufficient_destination_game_coverage_24m | fee_zero_or_unclassified_movement | no_pre_valuation_within_365d | no_post24_valuation_within_90d</x:v>
      </x:c>
    </x:row>
    <x:row r="24" ht="27" customHeight="1">
      <x:c r="A24" s="27" t="str">
        <x:v>1020649_20180701_53956_48365</x:v>
      </x:c>
      <x:c r="B24" s="27" t="str">
        <x:v>Pedro Gomes</x:v>
      </x:c>
      <x:c r="C24" s="27" t="str">
        <x:v>2018-07-01</x:v>
      </x:c>
      <x:c r="D24" s="27" t="str">
        <x:v>18/19</x:v>
      </x:c>
      <x:c r="E24" s="27" t="str">
        <x:v>Sporting Sub-15</x:v>
      </x:c>
      <x:c r="F24" s="27" t="str">
        <x:v>Sporting U17</x:v>
      </x:c>
      <x:c r="G24" s="45"/>
      <x:c r="H24" s="27" t="str">
        <x:v>missing</x:v>
      </x:c>
      <x:c r="I24" s="59" t="n">
        <x:v>15.074915980478723</x:v>
      </x:c>
      <x:c r="J24" s="27"/>
      <x:c r="K24" s="39"/>
      <x:c r="L24" s="45"/>
      <x:c r="M24" s="45"/>
      <x:c r="N24" s="39" t="n">
        <x:v>0</x:v>
      </x:c>
      <x:c r="O24" s="39" t="n">
        <x:v>0</x:v>
      </x:c>
      <x:c r="P24" s="56" t="b">
        <x:v>0</x:v>
      </x:c>
      <x:c r="Q24" s="56" t="b">
        <x:v>0</x:v>
      </x:c>
      <x:c r="R24" s="56" t="b">
        <x:v>0</x:v>
      </x:c>
      <x:c r="S24" s="27" t="str">
        <x:v>candidate_not_model_ready</x:v>
      </x:c>
      <x:c r="T24" s="27" t="str">
        <x:v>no_completed_seasonal_features | insufficient_destination_game_coverage_24m | fee_missing | no_pre_valuation_within_365d | no_post24_valuation_within_90d</x:v>
      </x:c>
    </x:row>
    <x:row r="25" ht="27" customHeight="1">
      <x:c r="A25" s="27" t="str">
        <x:v>1005239_20180701_70344_100154</x:v>
      </x:c>
      <x:c r="B25" s="27" t="str">
        <x:v>Philippe Lanquetin</x:v>
      </x:c>
      <x:c r="C25" s="27" t="str">
        <x:v>2018-07-01</x:v>
      </x:c>
      <x:c r="D25" s="27" t="str">
        <x:v>18/19</x:v>
      </x:c>
      <x:c r="E25" s="27" t="str">
        <x:v>Bretigny Yth.</x:v>
      </x:c>
      <x:c r="F25" s="27" t="str">
        <x:v>Lens Yth.</x:v>
      </x:c>
      <x:c r="G25" s="45" t="n">
        <x:v>0</x:v>
      </x:c>
      <x:c r="H25" s="27" t="str">
        <x:v>zero</x:v>
      </x:c>
      <x:c r="I25" s="59" t="n">
        <x:v>13.35551038008994</x:v>
      </x:c>
      <x:c r="J25" s="27"/>
      <x:c r="K25" s="39"/>
      <x:c r="L25" s="45"/>
      <x:c r="M25" s="45"/>
      <x:c r="N25" s="39" t="n">
        <x:v>0</x:v>
      </x:c>
      <x:c r="O25" s="39" t="n">
        <x:v>0</x:v>
      </x:c>
      <x:c r="P25" s="56" t="b">
        <x:v>0</x:v>
      </x:c>
      <x:c r="Q25" s="56" t="b">
        <x:v>0</x:v>
      </x:c>
      <x:c r="R25" s="56" t="b">
        <x:v>0</x:v>
      </x:c>
      <x:c r="S25" s="27" t="str">
        <x:v>candidate_not_model_ready</x:v>
      </x:c>
      <x:c r="T25" s="27" t="str">
        <x:v>no_completed_seasonal_features | insufficient_destination_game_coverage_24m | fee_zero_or_unclassified_movement | no_pre_valuation_within_365d | no_post24_valuation_within_90d</x:v>
      </x:c>
    </x:row>
    <x:row r="26" ht="27" customHeight="1">
      <x:c r="A26" s="27" t="str">
        <x:v>104414_20180701_14_504</x:v>
      </x:c>
      <x:c r="B26" s="27" t="str">
        <x:v>Raphael Holzhauser</x:v>
      </x:c>
      <x:c r="C26" s="27" t="str">
        <x:v>2018-07-01</x:v>
      </x:c>
      <x:c r="D26" s="27" t="str">
        <x:v>18/19</x:v>
      </x:c>
      <x:c r="E26" s="27" t="str">
        <x:v>Austria Vienna</x:v>
      </x:c>
      <x:c r="F26" s="27" t="str">
        <x:v>Grasshoppers</x:v>
      </x:c>
      <x:c r="G26" s="45" t="n">
        <x:v>0</x:v>
      </x:c>
      <x:c r="H26" s="27" t="str">
        <x:v>zero</x:v>
      </x:c>
      <x:c r="I26" s="59" t="n">
        <x:v>25.36944632675551</x:v>
      </x:c>
      <x:c r="J26" s="27"/>
      <x:c r="K26" s="39"/>
      <x:c r="L26" s="45" t="n">
        <x:v>3000000</x:v>
      </x:c>
      <x:c r="M26" s="45" t="n">
        <x:v>950000</x:v>
      </x:c>
      <x:c r="N26" s="39" t="n">
        <x:v>0</x:v>
      </x:c>
      <x:c r="O26" s="39" t="n">
        <x:v>0</x:v>
      </x:c>
      <x:c r="P26" s="56" t="b">
        <x:v>0</x:v>
      </x:c>
      <x:c r="Q26" s="56" t="b">
        <x:v>0</x:v>
      </x:c>
      <x:c r="R26" s="56" t="b">
        <x:v>0</x:v>
      </x:c>
      <x:c r="S26" s="27" t="str">
        <x:v>candidate_not_model_ready</x:v>
      </x:c>
      <x:c r="T26" s="27" t="str">
        <x:v>no_completed_seasonal_features | insufficient_destination_game_coverage_24m | fee_zero_or_unclassified_movement</x:v>
      </x:c>
    </x:row>
    <x:row r="27" ht="27" customHeight="1">
      <x:c r="A27" s="27" t="str">
        <x:v>1070536_20180701_57922_54531</x:v>
      </x:c>
      <x:c r="B27" s="27" t="str">
        <x:v>Tiago Machado</x:v>
      </x:c>
      <x:c r="C27" s="27" t="str">
        <x:v>2018-07-01</x:v>
      </x:c>
      <x:c r="D27" s="27" t="str">
        <x:v>18/19</x:v>
      </x:c>
      <x:c r="E27" s="27" t="str">
        <x:v>Rio Ave Sub-15</x:v>
      </x:c>
      <x:c r="F27" s="27" t="str">
        <x:v>Boavista U15</x:v>
      </x:c>
      <x:c r="G27" s="45"/>
      <x:c r="H27" s="27" t="str">
        <x:v>missing</x:v>
      </x:c>
      <x:c r="I27" s="59" t="n">
        <x:v>14.245330157361204</x:v>
      </x:c>
      <x:c r="J27" s="27"/>
      <x:c r="K27" s="39"/>
      <x:c r="L27" s="45"/>
      <x:c r="M27" s="45"/>
      <x:c r="N27" s="39" t="n">
        <x:v>0</x:v>
      </x:c>
      <x:c r="O27" s="39" t="n">
        <x:v>0</x:v>
      </x:c>
      <x:c r="P27" s="56" t="b">
        <x:v>0</x:v>
      </x:c>
      <x:c r="Q27" s="56" t="b">
        <x:v>0</x:v>
      </x:c>
      <x:c r="R27" s="56" t="b">
        <x:v>0</x:v>
      </x:c>
      <x:c r="S27" s="27" t="str">
        <x:v>candidate_not_model_ready</x:v>
      </x:c>
      <x:c r="T27" s="27" t="str">
        <x:v>no_completed_seasonal_features | insufficient_destination_game_coverage_24m | fee_missing | no_pre_valuation_within_365d | no_post24_valuation_within_90d</x:v>
      </x:c>
    </x:row>
    <x:row r="28" ht="27" customHeight="1">
      <x:c r="A28" s="27" t="str">
        <x:v>105506_20180701_2439_11126</x:v>
      </x:c>
      <x:c r="B28" s="27" t="str">
        <x:v>Vladimir Obukhov</x:v>
      </x:c>
      <x:c r="C28" s="27" t="str">
        <x:v>2018-07-01</x:v>
      </x:c>
      <x:c r="D28" s="27" t="str">
        <x:v>18/19</x:v>
      </x:c>
      <x:c r="E28" s="27" t="str">
        <x:v>Kuban Krasnodar</x:v>
      </x:c>
      <x:c r="F28" s="27" t="str">
        <x:v>Mordovia</x:v>
      </x:c>
      <x:c r="G28" s="45" t="n">
        <x:v>0</x:v>
      </x:c>
      <x:c r="H28" s="27" t="str">
        <x:v>zero</x:v>
      </x:c>
      <x:c r="I28" s="59" t="n">
        <x:v>26.393423547369213</x:v>
      </x:c>
      <x:c r="J28" s="27"/>
      <x:c r="K28" s="39"/>
      <x:c r="L28" s="45" t="n">
        <x:v>500000</x:v>
      </x:c>
      <x:c r="M28" s="45" t="n">
        <x:v>1000000</x:v>
      </x:c>
      <x:c r="N28" s="39" t="n">
        <x:v>0</x:v>
      </x:c>
      <x:c r="O28" s="39" t="n">
        <x:v>3</x:v>
      </x:c>
      <x:c r="P28" s="56" t="b">
        <x:v>0</x:v>
      </x:c>
      <x:c r="Q28" s="56" t="b">
        <x:v>0</x:v>
      </x:c>
      <x:c r="R28" s="56" t="b">
        <x:v>0</x:v>
      </x:c>
      <x:c r="S28" s="27" t="str">
        <x:v>candidate_not_model_ready</x:v>
      </x:c>
      <x:c r="T28" s="27" t="str">
        <x:v>no_completed_seasonal_features | insufficient_destination_game_coverage_24m | fee_zero_or_unclassified_movement</x:v>
      </x:c>
    </x:row>
    <x:row r="29" ht="27" customHeight="1">
      <x:c r="A29" s="27" t="str">
        <x:v>1110414_20180701_67520_52880</x:v>
      </x:c>
      <x:c r="B29" s="27" t="str">
        <x:v>William Glindtvad</x:v>
      </x:c>
      <x:c r="C29" s="27" t="str">
        <x:v>2018-07-01</x:v>
      </x:c>
      <x:c r="D29" s="27" t="str">
        <x:v>18/19</x:v>
      </x:c>
      <x:c r="E29" s="27" t="str">
        <x:v>Hellerup Youth</x:v>
      </x:c>
      <x:c r="F29" s="27" t="str">
        <x:v>FCK Youth</x:v>
      </x:c>
      <x:c r="G29" s="45" t="n">
        <x:v>0</x:v>
      </x:c>
      <x:c r="H29" s="27" t="str">
        <x:v>zero</x:v>
      </x:c>
      <x:c r="I29" s="59" t="n">
        <x:v>11.827758270190353</x:v>
      </x:c>
      <x:c r="J29" s="27"/>
      <x:c r="K29" s="39"/>
      <x:c r="L29" s="45"/>
      <x:c r="M29" s="45"/>
      <x:c r="N29" s="39" t="n">
        <x:v>0</x:v>
      </x:c>
      <x:c r="O29" s="39" t="n">
        <x:v>0</x:v>
      </x:c>
      <x:c r="P29" s="56" t="b">
        <x:v>0</x:v>
      </x:c>
      <x:c r="Q29" s="56" t="b">
        <x:v>0</x:v>
      </x:c>
      <x:c r="R29" s="56" t="b">
        <x:v>0</x:v>
      </x:c>
      <x:c r="S29" s="27" t="str">
        <x:v>candidate_not_model_ready</x:v>
      </x:c>
      <x:c r="T29" s="27" t="str">
        <x:v>no_completed_seasonal_features | insufficient_destination_game_coverage_24m | fee_zero_or_unclassified_movement | no_pre_valuation_within_365d | no_post24_valuation_within_90d</x:v>
      </x:c>
    </x:row>
    <x:row r="30" ht="27" customHeight="1">
      <x:c r="A30" s="27" t="str">
        <x:v>163568_20180701_416_2722</x:v>
      </x:c>
      <x:c r="B30" s="27" t="str">
        <x:v>Alfred Gomis</x:v>
      </x:c>
      <x:c r="C30" s="27" t="str">
        <x:v>2018-07-01</x:v>
      </x:c>
      <x:c r="D30" s="27" t="str">
        <x:v>18/19</x:v>
      </x:c>
      <x:c r="E30" s="27" t="str">
        <x:v>Torino</x:v>
      </x:c>
      <x:c r="F30" s="27" t="str">
        <x:v>SPAL</x:v>
      </x:c>
      <x:c r="G30" s="45" t="n">
        <x:v>1500000</x:v>
      </x:c>
      <x:c r="H30" s="27" t="str">
        <x:v>positive</x:v>
      </x:c>
      <x:c r="I30" s="59" t="n">
        <x:v>24.819127018350823</x:v>
      </x:c>
      <x:c r="J30" s="27" t="str">
        <x:v>2017-2018</x:v>
      </x:c>
      <x:c r="K30" s="39" t="n">
        <x:v>2261</x:v>
      </x:c>
      <x:c r="L30" s="45" t="n">
        <x:v>3000000</x:v>
      </x:c>
      <x:c r="M30" s="45" t="n">
        <x:v>2400000</x:v>
      </x:c>
      <x:c r="N30" s="39" t="n">
        <x:v>1811</x:v>
      </x:c>
      <x:c r="O30" s="39" t="n">
        <x:v>71</x:v>
      </x:c>
      <x:c r="P30" s="56" t="b">
        <x:v>1</x:v>
      </x:c>
      <x:c r="Q30" s="56" t="b">
        <x:v>1</x:v>
      </x:c>
      <x:c r="R30" s="56" t="b">
        <x:v>1</x:v>
      </x:c>
      <x:c r="S30" s="27" t="str">
        <x:v>combined_24m_provisional</x:v>
      </x:c>
      <x:c r="T30" s="27" t="str"/>
    </x:row>
    <x:row r="31" ht="27" customHeight="1">
      <x:c r="A31" s="27" t="str">
        <x:v>22141_20180701_1025_12</x:v>
      </x:c>
      <x:c r="B31" s="27" t="str">
        <x:v>Antonio Mirante</x:v>
      </x:c>
      <x:c r="C31" s="27" t="str">
        <x:v>2018-07-01</x:v>
      </x:c>
      <x:c r="D31" s="27" t="str">
        <x:v>18/19</x:v>
      </x:c>
      <x:c r="E31" s="27" t="str">
        <x:v>Bologna</x:v>
      </x:c>
      <x:c r="F31" s="27" t="str">
        <x:v>AS Roma</x:v>
      </x:c>
      <x:c r="G31" s="45" t="n">
        <x:v>4000000</x:v>
      </x:c>
      <x:c r="H31" s="27" t="str">
        <x:v>positive</x:v>
      </x:c>
      <x:c r="I31" s="59" t="n">
        <x:v>34.98223782829216</x:v>
      </x:c>
      <x:c r="J31" s="27" t="str">
        <x:v>2017-2018</x:v>
      </x:c>
      <x:c r="K31" s="39" t="n">
        <x:v>2970</x:v>
      </x:c>
      <x:c r="L31" s="45" t="n">
        <x:v>1000000</x:v>
      </x:c>
      <x:c r="M31" s="45" t="n">
        <x:v>650000</x:v>
      </x:c>
      <x:c r="N31" s="39" t="n">
        <x:v>1592</x:v>
      </x:c>
      <x:c r="O31" s="39" t="n">
        <x:v>86</x:v>
      </x:c>
      <x:c r="P31" s="56" t="b">
        <x:v>1</x:v>
      </x:c>
      <x:c r="Q31" s="56" t="b">
        <x:v>1</x:v>
      </x:c>
      <x:c r="R31" s="56" t="b">
        <x:v>1</x:v>
      </x:c>
      <x:c r="S31" s="27" t="str">
        <x:v>combined_24m_provisional</x:v>
      </x:c>
      <x:c r="T31" s="27" t="str"/>
    </x:row>
    <x:row r="32" ht="27" customHeight="1">
      <x:c r="A32" s="27" t="str">
        <x:v>230457_20180701_430_336</x:v>
      </x:c>
      <x:c r="B32" s="27" t="str">
        <x:v>Bruno Gaspar</x:v>
      </x:c>
      <x:c r="C32" s="27" t="str">
        <x:v>2018-07-01</x:v>
      </x:c>
      <x:c r="D32" s="27" t="str">
        <x:v>18/19</x:v>
      </x:c>
      <x:c r="E32" s="27" t="str">
        <x:v>Fiorentina</x:v>
      </x:c>
      <x:c r="F32" s="27" t="str">
        <x:v>Sporting</x:v>
      </x:c>
      <x:c r="G32" s="45" t="n">
        <x:v>4500000</x:v>
      </x:c>
      <x:c r="H32" s="27" t="str">
        <x:v>positive</x:v>
      </x:c>
      <x:c r="I32" s="59" t="n">
        <x:v>25.194220278308247</x:v>
      </x:c>
      <x:c r="J32" s="27" t="str">
        <x:v>2017-2018</x:v>
      </x:c>
      <x:c r="K32" s="39" t="n">
        <x:v>781</x:v>
      </x:c>
      <x:c r="L32" s="45" t="n">
        <x:v>3000000</x:v>
      </x:c>
      <x:c r="M32" s="45" t="n">
        <x:v>1500000</x:v>
      </x:c>
      <x:c r="N32" s="39" t="n">
        <x:v>1580</x:v>
      </x:c>
      <x:c r="O32" s="39" t="n">
        <x:v>88</x:v>
      </x:c>
      <x:c r="P32" s="56" t="b">
        <x:v>1</x:v>
      </x:c>
      <x:c r="Q32" s="56" t="b">
        <x:v>1</x:v>
      </x:c>
      <x:c r="R32" s="56" t="b">
        <x:v>1</x:v>
      </x:c>
      <x:c r="S32" s="27" t="str">
        <x:v>combined_24m_provisional</x:v>
      </x:c>
      <x:c r="T32" s="27" t="str"/>
    </x:row>
    <x:row r="33" ht="27" customHeight="1">
      <x:c r="A33" s="27" t="str">
        <x:v>170544_20180701_1095_417</x:v>
      </x:c>
      <x:c r="B33" s="27" t="str">
        <x:v>Christophe Hérelle</x:v>
      </x:c>
      <x:c r="C33" s="27" t="str">
        <x:v>2018-07-01</x:v>
      </x:c>
      <x:c r="D33" s="27" t="str">
        <x:v>18/19</x:v>
      </x:c>
      <x:c r="E33" s="27" t="str">
        <x:v>Troyes</x:v>
      </x:c>
      <x:c r="F33" s="27" t="str">
        <x:v>OGC Nice</x:v>
      </x:c>
      <x:c r="G33" s="45" t="n">
        <x:v>5000000</x:v>
      </x:c>
      <x:c r="H33" s="27" t="str">
        <x:v>positive</x:v>
      </x:c>
      <x:c r="I33" s="59" t="n">
        <x:v>25.856793773999467</x:v>
      </x:c>
      <x:c r="J33" s="27" t="str">
        <x:v>2017-2018</x:v>
      </x:c>
      <x:c r="K33" s="39" t="n">
        <x:v>2957</x:v>
      </x:c>
      <x:c r="L33" s="45" t="n">
        <x:v>6000000</x:v>
      </x:c>
      <x:c r="M33" s="45" t="n">
        <x:v>5500000</x:v>
      </x:c>
      <x:c r="N33" s="39" t="n">
        <x:v>4042</x:v>
      </x:c>
      <x:c r="O33" s="39" t="n">
        <x:v>66</x:v>
      </x:c>
      <x:c r="P33" s="56" t="b">
        <x:v>1</x:v>
      </x:c>
      <x:c r="Q33" s="56" t="b">
        <x:v>1</x:v>
      </x:c>
      <x:c r="R33" s="56" t="b">
        <x:v>1</x:v>
      </x:c>
      <x:c r="S33" s="27" t="str">
        <x:v>combined_24m_provisional</x:v>
      </x:c>
      <x:c r="T33" s="27" t="str"/>
    </x:row>
    <x:row r="34" ht="27" customHeight="1">
      <x:c r="A34" s="27" t="str">
        <x:v>163656_20180701_1237_124</x:v>
      </x:c>
      <x:c r="B34" s="27" t="str">
        <x:v>Connor Goldson</x:v>
      </x:c>
      <x:c r="C34" s="27" t="str">
        <x:v>2018-07-01</x:v>
      </x:c>
      <x:c r="D34" s="27" t="str">
        <x:v>18/19</x:v>
      </x:c>
      <x:c r="E34" s="27" t="str">
        <x:v>Brighton</x:v>
      </x:c>
      <x:c r="F34" s="27" t="str">
        <x:v>Rangers</x:v>
      </x:c>
      <x:c r="G34" s="45" t="n">
        <x:v>3400000</x:v>
      </x:c>
      <x:c r="H34" s="27" t="str">
        <x:v>positive</x:v>
      </x:c>
      <x:c r="I34" s="59" t="n">
        <x:v>25.533720747174822</x:v>
      </x:c>
      <x:c r="J34" s="27" t="str">
        <x:v>2017-2018</x:v>
      </x:c>
      <x:c r="K34" s="39" t="n">
        <x:v>200</x:v>
      </x:c>
      <x:c r="L34" s="45" t="n">
        <x:v>1000000</x:v>
      </x:c>
      <x:c r="M34" s="45" t="n">
        <x:v>4000000</x:v>
      </x:c>
      <x:c r="N34" s="39" t="n">
        <x:v>8521</x:v>
      </x:c>
      <x:c r="O34" s="39" t="n">
        <x:v>101</x:v>
      </x:c>
      <x:c r="P34" s="56" t="b">
        <x:v>1</x:v>
      </x:c>
      <x:c r="Q34" s="56" t="b">
        <x:v>1</x:v>
      </x:c>
      <x:c r="R34" s="56" t="b">
        <x:v>1</x:v>
      </x:c>
      <x:c r="S34" s="27" t="str">
        <x:v>combined_24m_provisional</x:v>
      </x:c>
      <x:c r="T34" s="27" t="str"/>
    </x:row>
    <x:row r="35" ht="27" customHeight="1">
      <x:c r="A35" s="27" t="str">
        <x:v>302991_20180701_866_3368</x:v>
      </x:c>
      <x:c r="B35" s="27" t="str">
        <x:v>Erick Cabaco</x:v>
      </x:c>
      <x:c r="C35" s="27" t="str">
        <x:v>2018-07-01</x:v>
      </x:c>
      <x:c r="D35" s="27" t="str">
        <x:v>18/19</x:v>
      </x:c>
      <x:c r="E35" s="27" t="str">
        <x:v>Nacional</x:v>
      </x:c>
      <x:c r="F35" s="27" t="str">
        <x:v>Levante</x:v>
      </x:c>
      <x:c r="G35" s="45" t="n">
        <x:v>2000000</x:v>
      </x:c>
      <x:c r="H35" s="27" t="str">
        <x:v>positive</x:v>
      </x:c>
      <x:c r="I35" s="59" t="n">
        <x:v>23.201023977220615</x:v>
      </x:c>
      <x:c r="J35" s="27" t="str">
        <x:v>2017-2018</x:v>
      </x:c>
      <x:c r="K35" s="39" t="n">
        <x:v>1040</x:v>
      </x:c>
      <x:c r="L35" s="45" t="n">
        <x:v>1500000</x:v>
      </x:c>
      <x:c r="M35" s="45" t="n">
        <x:v>4000000</x:v>
      </x:c>
      <x:c r="N35" s="39" t="n">
        <x:v>2829</x:v>
      </x:c>
      <x:c r="O35" s="39" t="n">
        <x:v>77</x:v>
      </x:c>
      <x:c r="P35" s="56" t="b">
        <x:v>1</x:v>
      </x:c>
      <x:c r="Q35" s="56" t="b">
        <x:v>1</x:v>
      </x:c>
      <x:c r="R35" s="56" t="b">
        <x:v>1</x:v>
      </x:c>
      <x:c r="S35" s="27" t="str">
        <x:v>combined_24m_provisional</x:v>
      </x:c>
      <x:c r="T35" s="27" t="str"/>
    </x:row>
    <x:row r="36" ht="27" customHeight="1">
      <x:c r="A36" s="27" t="str">
        <x:v>44059_20180701_12_252</x:v>
      </x:c>
      <x:c r="B36" s="27" t="str">
        <x:v>Ervin Zukanovic</x:v>
      </x:c>
      <x:c r="C36" s="27" t="str">
        <x:v>2018-07-01</x:v>
      </x:c>
      <x:c r="D36" s="27" t="str">
        <x:v>18/19</x:v>
      </x:c>
      <x:c r="E36" s="27" t="str">
        <x:v>AS Roma</x:v>
      </x:c>
      <x:c r="F36" s="27" t="str">
        <x:v>Genoa</x:v>
      </x:c>
      <x:c r="G36" s="45" t="n">
        <x:v>1500000</x:v>
      </x:c>
      <x:c r="H36" s="27" t="str">
        <x:v>positive</x:v>
      </x:c>
      <x:c r="I36" s="59" t="n">
        <x:v>31.38462802110926</x:v>
      </x:c>
      <x:c r="J36" s="27" t="str">
        <x:v>2017-2018</x:v>
      </x:c>
      <x:c r="K36" s="39" t="n">
        <x:v>2873</x:v>
      </x:c>
      <x:c r="L36" s="45" t="n">
        <x:v>2000000</x:v>
      </x:c>
      <x:c r="M36" s="45" t="n">
        <x:v>700000</x:v>
      </x:c>
      <x:c r="N36" s="39" t="n">
        <x:v>2169</x:v>
      </x:c>
      <x:c r="O36" s="39" t="n">
        <x:v>71</x:v>
      </x:c>
      <x:c r="P36" s="56" t="b">
        <x:v>1</x:v>
      </x:c>
      <x:c r="Q36" s="56" t="b">
        <x:v>1</x:v>
      </x:c>
      <x:c r="R36" s="56" t="b">
        <x:v>1</x:v>
      </x:c>
      <x:c r="S36" s="27" t="str">
        <x:v>combined_24m_provisional</x:v>
      </x:c>
      <x:c r="T36" s="27" t="str"/>
    </x:row>
    <x:row r="37" ht="27" customHeight="1">
      <x:c r="A37" s="27" t="str">
        <x:v>216375_20180701_7656_1025</x:v>
      </x:c>
      <x:c r="B37" s="27" t="str">
        <x:v>Felipe Avenatti</x:v>
      </x:c>
      <x:c r="C37" s="27" t="str">
        <x:v>2018-07-01</x:v>
      </x:c>
      <x:c r="D37" s="27" t="str">
        <x:v>18/19</x:v>
      </x:c>
      <x:c r="E37" s="27" t="str">
        <x:v>Luqueño</x:v>
      </x:c>
      <x:c r="F37" s="27" t="str">
        <x:v>Bologna</x:v>
      </x:c>
      <x:c r="G37" s="45" t="n">
        <x:v>2500000</x:v>
      </x:c>
      <x:c r="H37" s="27" t="str">
        <x:v>positive</x:v>
      </x:c>
      <x:c r="I37" s="59" t="n">
        <x:v>25.180530743273305</x:v>
      </x:c>
      <x:c r="J37" s="27" t="str">
        <x:v>2017-2018</x:v>
      </x:c>
      <x:c r="K37" s="39" t="n">
        <x:v>468</x:v>
      </x:c>
      <x:c r="L37" s="45" t="n">
        <x:v>1200000</x:v>
      </x:c>
      <x:c r="M37" s="45" t="n">
        <x:v>2400000</x:v>
      </x:c>
      <x:c r="N37" s="39" t="n">
        <x:v>0</x:v>
      </x:c>
      <x:c r="O37" s="39" t="n">
        <x:v>71</x:v>
      </x:c>
      <x:c r="P37" s="56" t="b">
        <x:v>1</x:v>
      </x:c>
      <x:c r="Q37" s="56" t="b">
        <x:v>1</x:v>
      </x:c>
      <x:c r="R37" s="56" t="b">
        <x:v>1</x:v>
      </x:c>
      <x:c r="S37" s="27" t="str">
        <x:v>combined_24m_provisional</x:v>
      </x:c>
      <x:c r="T37" s="27" t="str"/>
    </x:row>
    <x:row r="38" ht="27" customHeight="1">
      <x:c r="A38" s="27" t="str">
        <x:v>129476_20180701_131_1010</x:v>
      </x:c>
      <x:c r="B38" s="27" t="str">
        <x:v>Gerard Deulofeu</x:v>
      </x:c>
      <x:c r="C38" s="27" t="str">
        <x:v>2018-07-01</x:v>
      </x:c>
      <x:c r="D38" s="27" t="str">
        <x:v>18/19</x:v>
      </x:c>
      <x:c r="E38" s="27" t="str">
        <x:v>Barcelona</x:v>
      </x:c>
      <x:c r="F38" s="27" t="str">
        <x:v>Watford</x:v>
      </x:c>
      <x:c r="G38" s="45" t="n">
        <x:v>13000000</x:v>
      </x:c>
      <x:c r="H38" s="27" t="str">
        <x:v>positive</x:v>
      </x:c>
      <x:c r="I38" s="59" t="n">
        <x:v>24.30166259402999</x:v>
      </x:c>
      <x:c r="J38" s="27" t="str">
        <x:v>2017-2018</x:v>
      </x:c>
      <x:c r="K38" s="39" t="n">
        <x:v>938</x:v>
      </x:c>
      <x:c r="L38" s="45" t="n">
        <x:v>14000000</x:v>
      </x:c>
      <x:c r="M38" s="45" t="n">
        <x:v>20000000</x:v>
      </x:c>
      <x:c r="N38" s="39" t="n">
        <x:v>4389</x:v>
      </x:c>
      <x:c r="O38" s="39" t="n">
        <x:v>78</x:v>
      </x:c>
      <x:c r="P38" s="56" t="b">
        <x:v>1</x:v>
      </x:c>
      <x:c r="Q38" s="56" t="b">
        <x:v>1</x:v>
      </x:c>
      <x:c r="R38" s="56" t="b">
        <x:v>1</x:v>
      </x:c>
      <x:c r="S38" s="27" t="str">
        <x:v>combined_24m_provisional</x:v>
      </x:c>
      <x:c r="T38" s="27" t="str"/>
    </x:row>
    <x:row r="39" ht="27" customHeight="1">
      <x:c r="A39" s="27" t="str">
        <x:v>163222_20180701_6574_12</x:v>
      </x:c>
      <x:c r="B39" s="27" t="str">
        <x:v>Grégoire Defrel</x:v>
      </x:c>
      <x:c r="C39" s="27" t="str">
        <x:v>2018-07-01</x:v>
      </x:c>
      <x:c r="D39" s="27" t="str">
        <x:v>18/19</x:v>
      </x:c>
      <x:c r="E39" s="27" t="str">
        <x:v>Sassuolo</x:v>
      </x:c>
      <x:c r="F39" s="27" t="str">
        <x:v>AS Roma</x:v>
      </x:c>
      <x:c r="G39" s="45" t="n">
        <x:v>15000000</x:v>
      </x:c>
      <x:c r="H39" s="27" t="str">
        <x:v>positive</x:v>
      </x:c>
      <x:c r="I39" s="59" t="n">
        <x:v>27.0395696010185</x:v>
      </x:c>
      <x:c r="J39" s="27" t="str">
        <x:v>2017-2018</x:v>
      </x:c>
      <x:c r="K39" s="39" t="n">
        <x:v>485</x:v>
      </x:c>
      <x:c r="L39" s="45" t="n">
        <x:v>10000000</x:v>
      </x:c>
      <x:c r="M39" s="45" t="n">
        <x:v>8000000</x:v>
      </x:c>
      <x:c r="N39" s="39" t="n">
        <x:v>0</x:v>
      </x:c>
      <x:c r="O39" s="39" t="n">
        <x:v>86</x:v>
      </x:c>
      <x:c r="P39" s="56" t="b">
        <x:v>1</x:v>
      </x:c>
      <x:c r="Q39" s="56" t="b">
        <x:v>1</x:v>
      </x:c>
      <x:c r="R39" s="56" t="b">
        <x:v>1</x:v>
      </x:c>
      <x:c r="S39" s="27" t="str">
        <x:v>combined_24m_provisional</x:v>
      </x:c>
      <x:c r="T39" s="27" t="str"/>
    </x:row>
    <x:row r="40" ht="27" customHeight="1">
      <x:c r="A40" s="27" t="str">
        <x:v>42412_20180701_984_1003</x:v>
      </x:c>
      <x:c r="B40" s="27" t="str">
        <x:v>Jonny Evans</x:v>
      </x:c>
      <x:c r="C40" s="27" t="str">
        <x:v>2018-07-01</x:v>
      </x:c>
      <x:c r="D40" s="27" t="str">
        <x:v>18/19</x:v>
      </x:c>
      <x:c r="E40" s="27" t="str">
        <x:v>West Brom</x:v>
      </x:c>
      <x:c r="F40" s="27" t="str">
        <x:v>Leicester</x:v>
      </x:c>
      <x:c r="G40" s="45" t="n">
        <x:v>4000000</x:v>
      </x:c>
      <x:c r="H40" s="27" t="str">
        <x:v>positive</x:v>
      </x:c>
      <x:c r="I40" s="59" t="n">
        <x:v>30.49207033683101</x:v>
      </x:c>
      <x:c r="J40" s="27" t="str">
        <x:v>2017-2018</x:v>
      </x:c>
      <x:c r="K40" s="39" t="n">
        <x:v>2270</x:v>
      </x:c>
      <x:c r="L40" s="45" t="n">
        <x:v>15000000</x:v>
      </x:c>
      <x:c r="M40" s="45" t="n">
        <x:v>12000000</x:v>
      </x:c>
      <x:c r="N40" s="39" t="n">
        <x:v>5021</x:v>
      </x:c>
      <x:c r="O40" s="39" t="n">
        <x:v>74</x:v>
      </x:c>
      <x:c r="P40" s="56" t="b">
        <x:v>1</x:v>
      </x:c>
      <x:c r="Q40" s="56" t="b">
        <x:v>1</x:v>
      </x:c>
      <x:c r="R40" s="56" t="b">
        <x:v>1</x:v>
      </x:c>
      <x:c r="S40" s="27" t="str">
        <x:v>combined_24m_provisional</x:v>
      </x:c>
      <x:c r="T40" s="27" t="str"/>
    </x:row>
    <x:row r="41" ht="27" customHeight="1">
      <x:c r="A41" s="27" t="str">
        <x:v>241229_20180701_405_244</x:v>
      </x:c>
      <x:c r="B41" s="27" t="str">
        <x:v>Jordan Amavi</x:v>
      </x:c>
      <x:c r="C41" s="27" t="str">
        <x:v>2018-07-01</x:v>
      </x:c>
      <x:c r="D41" s="27" t="str">
        <x:v>18/19</x:v>
      </x:c>
      <x:c r="E41" s="27" t="str">
        <x:v>Aston Villa</x:v>
      </x:c>
      <x:c r="F41" s="27" t="str">
        <x:v>Marseille</x:v>
      </x:c>
      <x:c r="G41" s="45" t="n">
        <x:v>10000000</x:v>
      </x:c>
      <x:c r="H41" s="27" t="str">
        <x:v>positive</x:v>
      </x:c>
      <x:c r="I41" s="59" t="n">
        <x:v>24.31261422205795</x:v>
      </x:c>
      <x:c r="J41" s="27" t="str">
        <x:v>2017-2018</x:v>
      </x:c>
      <x:c r="K41" s="39" t="n">
        <x:v>2193</x:v>
      </x:c>
      <x:c r="L41" s="45" t="n">
        <x:v>16000000</x:v>
      </x:c>
      <x:c r="M41" s="45" t="n">
        <x:v>9500000</x:v>
      </x:c>
      <x:c r="N41" s="39" t="n">
        <x:v>4590</x:v>
      </x:c>
      <x:c r="O41" s="39" t="n">
        <x:v>72</x:v>
      </x:c>
      <x:c r="P41" s="56" t="b">
        <x:v>1</x:v>
      </x:c>
      <x:c r="Q41" s="56" t="b">
        <x:v>1</x:v>
      </x:c>
      <x:c r="R41" s="56" t="b">
        <x:v>1</x:v>
      </x:c>
      <x:c r="S41" s="27" t="str">
        <x:v>combined_24m_provisional</x:v>
      </x:c>
      <x:c r="T41" s="27" t="str"/>
    </x:row>
    <x:row r="42" ht="27" customHeight="1">
      <x:c r="A42" s="27" t="str">
        <x:v>335147_20180701_1161_969</x:v>
      </x:c>
      <x:c r="B42" s="27" t="str">
        <x:v>Junior Sambia</x:v>
      </x:c>
      <x:c r="C42" s="27" t="str">
        <x:v>2018-07-01</x:v>
      </x:c>
      <x:c r="D42" s="27" t="str">
        <x:v>18/19</x:v>
      </x:c>
      <x:c r="E42" s="27" t="str">
        <x:v>Chamois Niort</x:v>
      </x:c>
      <x:c r="F42" s="27" t="str">
        <x:v>Montpellier</x:v>
      </x:c>
      <x:c r="G42" s="45" t="n">
        <x:v>2000000</x:v>
      </x:c>
      <x:c r="H42" s="27" t="str">
        <x:v>positive</x:v>
      </x:c>
      <x:c r="I42" s="59" t="n">
        <x:v>21.81290512467744</x:v>
      </x:c>
      <x:c r="J42" s="27" t="str">
        <x:v>2017-2018</x:v>
      </x:c>
      <x:c r="K42" s="39" t="n">
        <x:v>1543</x:v>
      </x:c>
      <x:c r="L42" s="45" t="n">
        <x:v>2500000</x:v>
      </x:c>
      <x:c r="M42" s="45" t="n">
        <x:v>2800000</x:v>
      </x:c>
      <x:c r="N42" s="39" t="n">
        <x:v>1481</x:v>
      </x:c>
      <x:c r="O42" s="39" t="n">
        <x:v>66</x:v>
      </x:c>
      <x:c r="P42" s="56" t="b">
        <x:v>1</x:v>
      </x:c>
      <x:c r="Q42" s="56" t="b">
        <x:v>1</x:v>
      </x:c>
      <x:c r="R42" s="56" t="b">
        <x:v>1</x:v>
      </x:c>
      <x:c r="S42" s="27" t="str">
        <x:v>combined_24m_provisional</x:v>
      </x:c>
      <x:c r="T42" s="27" t="str"/>
    </x:row>
    <x:row r="43" ht="27" customHeight="1">
      <x:c r="A43" s="27" t="str">
        <x:v>124902_20180701_430_6574</x:v>
      </x:c>
      <x:c r="B43" s="27" t="str">
        <x:v>Khouma Babacar</x:v>
      </x:c>
      <x:c r="C43" s="27" t="str">
        <x:v>2018-07-01</x:v>
      </x:c>
      <x:c r="D43" s="27" t="str">
        <x:v>18/19</x:v>
      </x:c>
      <x:c r="E43" s="27" t="str">
        <x:v>Fiorentina</x:v>
      </x:c>
      <x:c r="F43" s="27" t="str">
        <x:v>Sassuolo</x:v>
      </x:c>
      <x:c r="G43" s="45" t="n">
        <x:v>7000000</x:v>
      </x:c>
      <x:c r="H43" s="27" t="str">
        <x:v>positive</x:v>
      </x:c>
      <x:c r="I43" s="59" t="n">
        <x:v>25.290047023552845</x:v>
      </x:c>
      <x:c r="J43" s="27" t="str">
        <x:v>2017-2018</x:v>
      </x:c>
      <x:c r="K43" s="39" t="n">
        <x:v>1198</x:v>
      </x:c>
      <x:c r="L43" s="45" t="n">
        <x:v>8000000</x:v>
      </x:c>
      <x:c r="M43" s="45" t="n">
        <x:v>4000000</x:v>
      </x:c>
      <x:c r="N43" s="39" t="n">
        <x:v>1524</x:v>
      </x:c>
      <x:c r="O43" s="39" t="n">
        <x:v>71</x:v>
      </x:c>
      <x:c r="P43" s="56" t="b">
        <x:v>1</x:v>
      </x:c>
      <x:c r="Q43" s="56" t="b">
        <x:v>1</x:v>
      </x:c>
      <x:c r="R43" s="56" t="b">
        <x:v>1</x:v>
      </x:c>
      <x:c r="S43" s="27" t="str">
        <x:v>combined_24m_provisional</x:v>
      </x:c>
      <x:c r="T43" s="27" t="str"/>
    </x:row>
    <x:row r="44" ht="27" customHeight="1">
      <x:c r="A44" s="27" t="str">
        <x:v>74228_20180701_512_12321</x:v>
      </x:c>
      <x:c r="B44" s="27" t="str">
        <x:v>Marc Muniesa</x:v>
      </x:c>
      <x:c r="C44" s="27" t="str">
        <x:v>2018-07-01</x:v>
      </x:c>
      <x:c r="D44" s="27" t="str">
        <x:v>18/19</x:v>
      </x:c>
      <x:c r="E44" s="27" t="str">
        <x:v>Stoke City</x:v>
      </x:c>
      <x:c r="F44" s="27" t="str">
        <x:v>Girona</x:v>
      </x:c>
      <x:c r="G44" s="45" t="n">
        <x:v>5000000</x:v>
      </x:c>
      <x:c r="H44" s="27" t="str">
        <x:v>positive</x:v>
      </x:c>
      <x:c r="I44" s="59" t="n">
        <x:v>26.262004011033763</x:v>
      </x:c>
      <x:c r="J44" s="27" t="str">
        <x:v>2017-2018</x:v>
      </x:c>
      <x:c r="K44" s="39" t="n">
        <x:v>1127</x:v>
      </x:c>
      <x:c r="L44" s="45" t="n">
        <x:v>2500000</x:v>
      </x:c>
      <x:c r="M44" s="45" t="n">
        <x:v>2400000</x:v>
      </x:c>
      <x:c r="N44" s="39" t="n">
        <x:v>1808</x:v>
      </x:c>
      <x:c r="O44" s="39" t="n">
        <x:v>47</x:v>
      </x:c>
      <x:c r="P44" s="56" t="b">
        <x:v>1</x:v>
      </x:c>
      <x:c r="Q44" s="56" t="b">
        <x:v>1</x:v>
      </x:c>
      <x:c r="R44" s="56" t="b">
        <x:v>1</x:v>
      </x:c>
      <x:c r="S44" s="27" t="str">
        <x:v>combined_24m_provisional</x:v>
      </x:c>
      <x:c r="T44" s="27" t="str"/>
    </x:row>
    <x:row r="45" ht="27" customHeight="1">
      <x:c r="A45" s="27" t="str">
        <x:v>28140_20180701_989_415</x:v>
      </x:c>
      <x:c r="B45" s="27" t="str">
        <x:v>Max Gradel</x:v>
      </x:c>
      <x:c r="C45" s="27" t="str">
        <x:v>2018-07-01</x:v>
      </x:c>
      <x:c r="D45" s="27" t="str">
        <x:v>18/19</x:v>
      </x:c>
      <x:c r="E45" s="27" t="str">
        <x:v>Bournemouth</x:v>
      </x:c>
      <x:c r="F45" s="27" t="str">
        <x:v>Toulouse</x:v>
      </x:c>
      <x:c r="G45" s="45" t="n">
        <x:v>2000000</x:v>
      </x:c>
      <x:c r="H45" s="27" t="str">
        <x:v>positive</x:v>
      </x:c>
      <x:c r="I45" s="59" t="n">
        <x:v>30.58515917506862</x:v>
      </x:c>
      <x:c r="J45" s="27" t="str">
        <x:v>2017-2018</x:v>
      </x:c>
      <x:c r="K45" s="39" t="n">
        <x:v>2415</x:v>
      </x:c>
      <x:c r="L45" s="45" t="n">
        <x:v>7000000</x:v>
      </x:c>
      <x:c r="M45" s="45" t="n">
        <x:v>4000000</x:v>
      </x:c>
      <x:c r="N45" s="39" t="n">
        <x:v>4881</x:v>
      </x:c>
      <x:c r="O45" s="39" t="n">
        <x:v>66</x:v>
      </x:c>
      <x:c r="P45" s="56" t="b">
        <x:v>1</x:v>
      </x:c>
      <x:c r="Q45" s="56" t="b">
        <x:v>1</x:v>
      </x:c>
      <x:c r="R45" s="56" t="b">
        <x:v>1</x:v>
      </x:c>
      <x:c r="S45" s="27" t="str">
        <x:v>combined_24m_provisional</x:v>
      </x:c>
      <x:c r="T45" s="27" t="str"/>
    </x:row>
    <x:row r="46" ht="27" customHeight="1">
      <x:c r="A46" s="27" t="str">
        <x:v>302215_20180701_23826_31</x:v>
      </x:c>
      <x:c r="B46" s="27" t="str">
        <x:v>Naby Keïta</x:v>
      </x:c>
      <x:c r="C46" s="27" t="str">
        <x:v>2018-07-01</x:v>
      </x:c>
      <x:c r="D46" s="27" t="str">
        <x:v>18/19</x:v>
      </x:c>
      <x:c r="E46" s="27" t="str">
        <x:v>RB Leipzig</x:v>
      </x:c>
      <x:c r="F46" s="27" t="str">
        <x:v>Liverpool</x:v>
      </x:c>
      <x:c r="G46" s="45" t="n">
        <x:v>60000000</x:v>
      </x:c>
      <x:c r="H46" s="27" t="str">
        <x:v>positive</x:v>
      </x:c>
      <x:c r="I46" s="59" t="n">
        <x:v>23.387201653695833</x:v>
      </x:c>
      <x:c r="J46" s="27" t="str">
        <x:v>2017-2018</x:v>
      </x:c>
      <x:c r="K46" s="39" t="n">
        <x:v>1962</x:v>
      </x:c>
      <x:c r="L46" s="45" t="n">
        <x:v>65000000</x:v>
      </x:c>
      <x:c r="M46" s="45" t="n">
        <x:v>40000000</x:v>
      </x:c>
      <x:c r="N46" s="39" t="n">
        <x:v>2633</x:v>
      </x:c>
      <x:c r="O46" s="39" t="n">
        <x:v>99</x:v>
      </x:c>
      <x:c r="P46" s="56" t="b">
        <x:v>1</x:v>
      </x:c>
      <x:c r="Q46" s="56" t="b">
        <x:v>1</x:v>
      </x:c>
      <x:c r="R46" s="56" t="b">
        <x:v>1</x:v>
      </x:c>
      <x:c r="S46" s="27" t="str">
        <x:v>combined_24m_provisional</x:v>
      </x:c>
      <x:c r="T46" s="27" t="str"/>
    </x:row>
    <x:row r="47" ht="27" customHeight="1">
      <x:c r="A47" s="27" t="str">
        <x:v>60577_20180701_1041_416</x:v>
      </x:c>
      <x:c r="B47" s="27" t="str">
        <x:v>Nicolas N'Koulou</x:v>
      </x:c>
      <x:c r="C47" s="27" t="str">
        <x:v>2018-07-01</x:v>
      </x:c>
      <x:c r="D47" s="27" t="str">
        <x:v>18/19</x:v>
      </x:c>
      <x:c r="E47" s="27" t="str">
        <x:v>Olympique Lyon</x:v>
      </x:c>
      <x:c r="F47" s="27" t="str">
        <x:v>Torino</x:v>
      </x:c>
      <x:c r="G47" s="45" t="n">
        <x:v>3500000</x:v>
      </x:c>
      <x:c r="H47" s="27" t="str">
        <x:v>positive</x:v>
      </x:c>
      <x:c r="I47" s="59" t="n">
        <x:v>28.263414033142364</x:v>
      </x:c>
      <x:c r="J47" s="27" t="str">
        <x:v>2017-2018</x:v>
      </x:c>
      <x:c r="K47" s="39" t="n">
        <x:v>3258</x:v>
      </x:c>
      <x:c r="L47" s="45" t="n">
        <x:v>10000000</x:v>
      </x:c>
      <x:c r="M47" s="45" t="n">
        <x:v>10000000</x:v>
      </x:c>
      <x:c r="N47" s="39" t="n">
        <x:v>5911</x:v>
      </x:c>
      <x:c r="O47" s="39" t="n">
        <x:v>77</x:v>
      </x:c>
      <x:c r="P47" s="56" t="b">
        <x:v>1</x:v>
      </x:c>
      <x:c r="Q47" s="56" t="b">
        <x:v>1</x:v>
      </x:c>
      <x:c r="R47" s="56" t="b">
        <x:v>1</x:v>
      </x:c>
      <x:c r="S47" s="27" t="str">
        <x:v>combined_24m_provisional</x:v>
      </x:c>
      <x:c r="T47" s="27" t="str"/>
    </x:row>
    <x:row r="48" ht="27" customHeight="1">
      <x:c r="A48" s="27" t="str">
        <x:v>88909_20180701_749_430</x:v>
      </x:c>
      <x:c r="B48" s="27" t="str">
        <x:v>Riccardo Saponara</x:v>
      </x:c>
      <x:c r="C48" s="27" t="str">
        <x:v>2018-07-01</x:v>
      </x:c>
      <x:c r="D48" s="27" t="str">
        <x:v>18/19</x:v>
      </x:c>
      <x:c r="E48" s="27" t="str">
        <x:v>FC Empoli</x:v>
      </x:c>
      <x:c r="F48" s="27" t="str">
        <x:v>Fiorentina</x:v>
      </x:c>
      <x:c r="G48" s="45" t="n">
        <x:v>9000000</x:v>
      </x:c>
      <x:c r="H48" s="27" t="str">
        <x:v>positive</x:v>
      </x:c>
      <x:c r="I48" s="59" t="n">
        <x:v>26.527580990711648</x:v>
      </x:c>
      <x:c r="J48" s="27" t="str">
        <x:v>2017-2018</x:v>
      </x:c>
      <x:c r="K48" s="39" t="n">
        <x:v>900</x:v>
      </x:c>
      <x:c r="L48" s="45" t="n">
        <x:v>9000000</x:v>
      </x:c>
      <x:c r="M48" s="45" t="n">
        <x:v>2500000</x:v>
      </x:c>
      <x:c r="N48" s="39" t="n">
        <x:v>0</x:v>
      </x:c>
      <x:c r="O48" s="39" t="n">
        <x:v>74</x:v>
      </x:c>
      <x:c r="P48" s="56" t="b">
        <x:v>1</x:v>
      </x:c>
      <x:c r="Q48" s="56" t="b">
        <x:v>1</x:v>
      </x:c>
      <x:c r="R48" s="56" t="b">
        <x:v>1</x:v>
      </x:c>
      <x:c r="S48" s="27" t="str">
        <x:v>combined_24m_provisional</x:v>
      </x:c>
      <x:c r="T48" s="27" t="str"/>
    </x:row>
    <x:row r="49" ht="27" customHeight="1">
      <x:c r="A49" s="27" t="str">
        <x:v>432772_20180701_1095_162</x:v>
      </x:c>
      <x:c r="B49" s="27" t="str">
        <x:v>Samuel Grandsir</x:v>
      </x:c>
      <x:c r="C49" s="27" t="str">
        <x:v>2018-07-01</x:v>
      </x:c>
      <x:c r="D49" s="27" t="str">
        <x:v>18/19</x:v>
      </x:c>
      <x:c r="E49" s="27" t="str">
        <x:v>Troyes</x:v>
      </x:c>
      <x:c r="F49" s="27" t="str">
        <x:v>Monaco</x:v>
      </x:c>
      <x:c r="G49" s="45" t="n">
        <x:v>3000000</x:v>
      </x:c>
      <x:c r="H49" s="27" t="str">
        <x:v>positive</x:v>
      </x:c>
      <x:c r="I49" s="59" t="n">
        <x:v>21.878614892845164</x:v>
      </x:c>
      <x:c r="J49" s="27" t="str">
        <x:v>2017-2018</x:v>
      </x:c>
      <x:c r="K49" s="39" t="n">
        <x:v>2603</x:v>
      </x:c>
      <x:c r="L49" s="45" t="n">
        <x:v>5000000</x:v>
      </x:c>
      <x:c r="M49" s="45" t="n">
        <x:v>3000000</x:v>
      </x:c>
      <x:c r="N49" s="39" t="n">
        <x:v>696</x:v>
      </x:c>
      <x:c r="O49" s="39" t="n">
        <x:v>73</x:v>
      </x:c>
      <x:c r="P49" s="56" t="b">
        <x:v>1</x:v>
      </x:c>
      <x:c r="Q49" s="56" t="b">
        <x:v>1</x:v>
      </x:c>
      <x:c r="R49" s="56" t="b">
        <x:v>1</x:v>
      </x:c>
      <x:c r="S49" s="27" t="str">
        <x:v>combined_24m_provisional</x:v>
      </x:c>
      <x:c r="T49" s="27" t="str"/>
    </x:row>
    <x:row r="50" ht="27" customHeight="1">
      <x:c r="A50" s="27" t="str">
        <x:v>130360_20180701_1025_6195</x:v>
      </x:c>
      <x:c r="B50" s="27" t="str">
        <x:v>Simone Verdi</x:v>
      </x:c>
      <x:c r="C50" s="27" t="str">
        <x:v>2018-07-01</x:v>
      </x:c>
      <x:c r="D50" s="27" t="str">
        <x:v>18/19</x:v>
      </x:c>
      <x:c r="E50" s="27" t="str">
        <x:v>Bologna</x:v>
      </x:c>
      <x:c r="F50" s="27" t="str">
        <x:v>Napoli</x:v>
      </x:c>
      <x:c r="G50" s="45" t="n">
        <x:v>24500000</x:v>
      </x:c>
      <x:c r="H50" s="27" t="str">
        <x:v>positive</x:v>
      </x:c>
      <x:c r="I50" s="59" t="n">
        <x:v>25.969047961285995</x:v>
      </x:c>
      <x:c r="J50" s="27" t="str">
        <x:v>2017-2018</x:v>
      </x:c>
      <x:c r="K50" s="39" t="n">
        <x:v>2827</x:v>
      </x:c>
      <x:c r="L50" s="45" t="n">
        <x:v>25000000</x:v>
      </x:c>
      <x:c r="M50" s="45" t="n">
        <x:v>13000000</x:v>
      </x:c>
      <x:c r="N50" s="39" t="n">
        <x:v>811</x:v>
      </x:c>
      <x:c r="O50" s="39" t="n">
        <x:v>92</x:v>
      </x:c>
      <x:c r="P50" s="56" t="b">
        <x:v>1</x:v>
      </x:c>
      <x:c r="Q50" s="56" t="b">
        <x:v>1</x:v>
      </x:c>
      <x:c r="R50" s="56" t="b">
        <x:v>1</x:v>
      </x:c>
      <x:c r="S50" s="27" t="str">
        <x:v>combined_24m_provisional</x:v>
      </x:c>
      <x:c r="T50" s="27" t="str"/>
    </x:row>
    <x:row r="51" ht="27" customHeight="1">
      <x:c r="A51" s="27" t="str">
        <x:v>34322_20180702_16_11</x:v>
      </x:c>
      <x:c r="B51" s="27" t="str">
        <x:v>Sokratis Papastathopoulos</x:v>
      </x:c>
      <x:c r="C51" s="27" t="str">
        <x:v>2018-07-02</x:v>
      </x:c>
      <x:c r="D51" s="27" t="str">
        <x:v>18/19</x:v>
      </x:c>
      <x:c r="E51" s="27" t="str">
        <x:v>Bor. Dortmund</x:v>
      </x:c>
      <x:c r="F51" s="27" t="str">
        <x:v>Arsenal</x:v>
      </x:c>
      <x:c r="G51" s="45" t="n">
        <x:v>16000000</x:v>
      </x:c>
      <x:c r="H51" s="27" t="str">
        <x:v>positive</x:v>
      </x:c>
      <x:c r="I51" s="59" t="n">
        <x:v>30.062218936733814</x:v>
      </x:c>
      <x:c r="J51" s="27" t="str">
        <x:v>2017-2018</x:v>
      </x:c>
      <x:c r="K51" s="39" t="n">
        <x:v>2373</x:v>
      </x:c>
      <x:c r="L51" s="45" t="n">
        <x:v>20000000</x:v>
      </x:c>
      <x:c r="M51" s="45" t="n">
        <x:v>8000000</x:v>
      </x:c>
      <x:c r="N51" s="39" t="n">
        <x:v>5609</x:v>
      </x:c>
      <x:c r="O51" s="39" t="n">
        <x:v>98</x:v>
      </x:c>
      <x:c r="P51" s="56" t="b">
        <x:v>1</x:v>
      </x:c>
      <x:c r="Q51" s="56" t="b">
        <x:v>1</x:v>
      </x:c>
      <x:c r="R51" s="56" t="b">
        <x:v>1</x:v>
      </x:c>
      <x:c r="S51" s="27" t="str">
        <x:v>combined_24m_provisional</x:v>
      </x:c>
      <x:c r="T51" s="27" t="str"/>
    </x:row>
    <x:row r="52" ht="27" customHeight="1">
      <x:c r="A52" s="27" t="str">
        <x:v>36139_20180703_180_610</x:v>
      </x:c>
      <x:c r="B52" s="27" t="str">
        <x:v>Dušan Tadić</x:v>
      </x:c>
      <x:c r="C52" s="27" t="str">
        <x:v>2018-07-03</x:v>
      </x:c>
      <x:c r="D52" s="27" t="str">
        <x:v>18/19</x:v>
      </x:c>
      <x:c r="E52" s="27" t="str">
        <x:v>Southampton</x:v>
      </x:c>
      <x:c r="F52" s="27" t="str">
        <x:v>Ajax</x:v>
      </x:c>
      <x:c r="G52" s="45" t="n">
        <x:v>13700000</x:v>
      </x:c>
      <x:c r="H52" s="27" t="str">
        <x:v>positive</x:v>
      </x:c>
      <x:c r="I52" s="59" t="n">
        <x:v>29.615940094594688</x:v>
      </x:c>
      <x:c r="J52" s="27" t="str">
        <x:v>2017-2018</x:v>
      </x:c>
      <x:c r="K52" s="39" t="n">
        <x:v>2791</x:v>
      </x:c>
      <x:c r="L52" s="45" t="n">
        <x:v>15000000</x:v>
      </x:c>
      <x:c r="M52" s="45" t="n">
        <x:v>20000000</x:v>
      </x:c>
      <x:c r="N52" s="39" t="n">
        <x:v>8469</x:v>
      </x:c>
      <x:c r="O52" s="39" t="n">
        <x:v>100</x:v>
      </x:c>
      <x:c r="P52" s="56" t="b">
        <x:v>1</x:v>
      </x:c>
      <x:c r="Q52" s="56" t="b">
        <x:v>1</x:v>
      </x:c>
      <x:c r="R52" s="56" t="b">
        <x:v>1</x:v>
      </x:c>
      <x:c r="S52" s="27" t="str">
        <x:v>combined_24m_provisional</x:v>
      </x:c>
      <x:c r="T52" s="27" t="str"/>
    </x:row>
    <x:row r="53" ht="27" customHeight="1">
      <x:c r="A53" s="27" t="str">
        <x:v>197126_20180703_39_190</x:v>
      </x:c>
      <x:c r="B53" s="27" t="str">
        <x:v>Kenan Kodro</x:v>
      </x:c>
      <x:c r="C53" s="27" t="str">
        <x:v>2018-07-03</x:v>
      </x:c>
      <x:c r="D53" s="27" t="str">
        <x:v>18/19</x:v>
      </x:c>
      <x:c r="E53" s="27" t="str">
        <x:v>Mainz</x:v>
      </x:c>
      <x:c r="F53" s="27" t="str">
        <x:v>Copenhagen</x:v>
      </x:c>
      <x:c r="G53" s="45" t="n">
        <x:v>1600000</x:v>
      </x:c>
      <x:c r="H53" s="27" t="str">
        <x:v>positive</x:v>
      </x:c>
      <x:c r="I53" s="59" t="n">
        <x:v>24.871147251483603</x:v>
      </x:c>
      <x:c r="J53" s="27" t="str">
        <x:v>2017-2018</x:v>
      </x:c>
      <x:c r="K53" s="39" t="n">
        <x:v>232</x:v>
      </x:c>
      <x:c r="L53" s="45" t="n">
        <x:v>2000000</x:v>
      </x:c>
      <x:c r="M53" s="45" t="n">
        <x:v>800000</x:v>
      </x:c>
      <x:c r="N53" s="39" t="n">
        <x:v>839</x:v>
      </x:c>
      <x:c r="O53" s="39" t="n">
        <x:v>86</x:v>
      </x:c>
      <x:c r="P53" s="56" t="b">
        <x:v>1</x:v>
      </x:c>
      <x:c r="Q53" s="56" t="b">
        <x:v>1</x:v>
      </x:c>
      <x:c r="R53" s="56" t="b">
        <x:v>1</x:v>
      </x:c>
      <x:c r="S53" s="27" t="str">
        <x:v>combined_24m_provisional</x:v>
      </x:c>
      <x:c r="T53" s="27" t="str"/>
    </x:row>
    <x:row r="54" ht="27" customHeight="1">
      <x:c r="A54" s="27" t="str">
        <x:v>203378_20180703_1049_58</x:v>
      </x:c>
      <x:c r="B54" s="27" t="str">
        <x:v>Zakaria Bakkali</x:v>
      </x:c>
      <x:c r="C54" s="27" t="str">
        <x:v>2018-07-03</x:v>
      </x:c>
      <x:c r="D54" s="27" t="str">
        <x:v>18/19</x:v>
      </x:c>
      <x:c r="E54" s="27" t="str">
        <x:v>Valencia</x:v>
      </x:c>
      <x:c r="F54" s="27" t="str">
        <x:v>RSC Anderlecht</x:v>
      </x:c>
      <x:c r="G54" s="45" t="n">
        <x:v>1200000</x:v>
      </x:c>
      <x:c r="H54" s="27" t="str">
        <x:v>positive</x:v>
      </x:c>
      <x:c r="I54" s="59" t="n">
        <x:v>22.434410015263833</x:v>
      </x:c>
      <x:c r="J54" s="27" t="str">
        <x:v>2017-2018</x:v>
      </x:c>
      <x:c r="K54" s="39" t="n">
        <x:v>909</x:v>
      </x:c>
      <x:c r="L54" s="45" t="n">
        <x:v>1500000</x:v>
      </x:c>
      <x:c r="M54" s="45" t="n">
        <x:v>1000000</x:v>
      </x:c>
      <x:c r="N54" s="39" t="n">
        <x:v>1469</x:v>
      </x:c>
      <x:c r="O54" s="39" t="n">
        <x:v>65</x:v>
      </x:c>
      <x:c r="P54" s="56" t="b">
        <x:v>1</x:v>
      </x:c>
      <x:c r="Q54" s="56" t="b">
        <x:v>1</x:v>
      </x:c>
      <x:c r="R54" s="56" t="b">
        <x:v>1</x:v>
      </x:c>
      <x:c r="S54" s="27" t="str">
        <x:v>combined_24m_provisional</x:v>
      </x:c>
      <x:c r="T54" s="27" t="str"/>
    </x:row>
    <x:row r="55" ht="27" customHeight="1">
      <x:c r="A55" s="27" t="str">
        <x:v>339501_20180701_448_826</x:v>
      </x:c>
      <x:c r="B55" s="27" t="str">
        <x:v>Aleksandar Radovanovic</x:v>
      </x:c>
      <x:c r="C55" s="27" t="str">
        <x:v>2018-07-01</x:v>
      </x:c>
      <x:c r="D55" s="27" t="str">
        <x:v>18/19</x:v>
      </x:c>
      <x:c r="E55" s="27" t="str">
        <x:v>Vojvodina</x:v>
      </x:c>
      <x:c r="F55" s="27" t="str">
        <x:v>Lens</x:v>
      </x:c>
      <x:c r="G55" s="45" t="n">
        <x:v>650000</x:v>
      </x:c>
      <x:c r="H55" s="27" t="str">
        <x:v>positive</x:v>
      </x:c>
      <x:c r="I55" s="59" t="n">
        <x:v>24.63568724888259</x:v>
      </x:c>
      <x:c r="J55" s="27"/>
      <x:c r="K55" s="39"/>
      <x:c r="L55" s="45" t="n">
        <x:v>400000</x:v>
      </x:c>
      <x:c r="M55" s="45" t="n">
        <x:v>475000</x:v>
      </x:c>
      <x:c r="N55" s="39" t="n">
        <x:v>0</x:v>
      </x:c>
      <x:c r="O55" s="39" t="n">
        <x:v>0</x:v>
      </x:c>
      <x:c r="P55" s="56" t="b">
        <x:v>0</x:v>
      </x:c>
      <x:c r="Q55" s="56" t="b">
        <x:v>1</x:v>
      </x:c>
      <x:c r="R55" s="56" t="b">
        <x:v>0</x:v>
      </x:c>
      <x:c r="S55" s="27" t="str">
        <x:v>financial_24m_provisional</x:v>
      </x:c>
      <x:c r="T55" s="27" t="str">
        <x:v>no_completed_seasonal_features | insufficient_destination_game_coverage_24m</x:v>
      </x:c>
    </x:row>
    <x:row r="56" ht="27" customHeight="1">
      <x:c r="A56" s="27" t="str">
        <x:v>160968_20180701_23826_3</x:v>
      </x:c>
      <x:c r="B56" s="27" t="str">
        <x:v>Benno Schmitz</x:v>
      </x:c>
      <x:c r="C56" s="27" t="str">
        <x:v>2018-07-01</x:v>
      </x:c>
      <x:c r="D56" s="27" t="str">
        <x:v>18/19</x:v>
      </x:c>
      <x:c r="E56" s="27" t="str">
        <x:v>RB Leipzig</x:v>
      </x:c>
      <x:c r="F56" s="27" t="str">
        <x:v>1.FC Köln</x:v>
      </x:c>
      <x:c r="G56" s="45" t="n">
        <x:v>200000</x:v>
      </x:c>
      <x:c r="H56" s="27" t="str">
        <x:v>positive</x:v>
      </x:c>
      <x:c r="I56" s="59" t="n">
        <x:v>23.619923749289853</x:v>
      </x:c>
      <x:c r="J56" s="27" t="str">
        <x:v>2017-2018</x:v>
      </x:c>
      <x:c r="K56" s="39" t="n">
        <x:v>82</x:v>
      </x:c>
      <x:c r="L56" s="45" t="n">
        <x:v>1000000</x:v>
      </x:c>
      <x:c r="M56" s="45" t="n">
        <x:v>1000000</x:v>
      </x:c>
      <x:c r="N56" s="39" t="n">
        <x:v>1229</x:v>
      </x:c>
      <x:c r="O56" s="39" t="n">
        <x:v>38</x:v>
      </x:c>
      <x:c r="P56" s="56" t="b">
        <x:v>0</x:v>
      </x:c>
      <x:c r="Q56" s="56" t="b">
        <x:v>1</x:v>
      </x:c>
      <x:c r="R56" s="56" t="b">
        <x:v>0</x:v>
      </x:c>
      <x:c r="S56" s="27" t="str">
        <x:v>financial_24m_provisional</x:v>
      </x:c>
      <x:c r="T56" s="27" t="str"/>
    </x:row>
    <x:row r="57" ht="27" customHeight="1">
      <x:c r="A57" s="27" t="str">
        <x:v>357995_20180701_46_800</x:v>
      </x:c>
      <x:c r="B57" s="27" t="str">
        <x:v>Davide Bettella</x:v>
      </x:c>
      <x:c r="C57" s="27" t="str">
        <x:v>2018-07-01</x:v>
      </x:c>
      <x:c r="D57" s="27" t="str">
        <x:v>18/19</x:v>
      </x:c>
      <x:c r="E57" s="27" t="str">
        <x:v>Inter</x:v>
      </x:c>
      <x:c r="F57" s="27" t="str">
        <x:v>Atalanta</x:v>
      </x:c>
      <x:c r="G57" s="45" t="n">
        <x:v>8500000</x:v>
      </x:c>
      <x:c r="H57" s="27" t="str">
        <x:v>positive</x:v>
      </x:c>
      <x:c r="I57" s="59" t="n">
        <x:v>18.23172275953647</x:v>
      </x:c>
      <x:c r="J57" s="27"/>
      <x:c r="K57" s="39"/>
      <x:c r="L57" s="45" t="n">
        <x:v>1000000</x:v>
      </x:c>
      <x:c r="M57" s="45" t="n">
        <x:v>2000000</x:v>
      </x:c>
      <x:c r="N57" s="39" t="n">
        <x:v>0</x:v>
      </x:c>
      <x:c r="O57" s="39" t="n">
        <x:v>86</x:v>
      </x:c>
      <x:c r="P57" s="56" t="b">
        <x:v>0</x:v>
      </x:c>
      <x:c r="Q57" s="56" t="b">
        <x:v>1</x:v>
      </x:c>
      <x:c r="R57" s="56" t="b">
        <x:v>0</x:v>
      </x:c>
      <x:c r="S57" s="27" t="str">
        <x:v>financial_24m_provisional</x:v>
      </x:c>
      <x:c r="T57" s="27" t="str">
        <x:v>no_completed_seasonal_features</x:v>
      </x:c>
    </x:row>
    <x:row r="58" ht="27" customHeight="1">
      <x:c r="A58" s="27" t="str">
        <x:v>397090_20180701_3325_2420</x:v>
      </x:c>
      <x:c r="B58" s="27" t="str">
        <x:v>Davidson</x:v>
      </x:c>
      <x:c r="C58" s="27" t="str">
        <x:v>2018-07-01</x:v>
      </x:c>
      <x:c r="D58" s="27" t="str">
        <x:v>18/19</x:v>
      </x:c>
      <x:c r="E58" s="27" t="str">
        <x:v>Chaves</x:v>
      </x:c>
      <x:c r="F58" s="27" t="str">
        <x:v>Vit. Guimarães</x:v>
      </x:c>
      <x:c r="G58" s="45" t="n">
        <x:v>800000</x:v>
      </x:c>
      <x:c r="H58" s="27" t="str">
        <x:v>positive</x:v>
      </x:c>
      <x:c r="I58" s="59" t="n">
        <x:v>27.324311929745306</x:v>
      </x:c>
      <x:c r="J58" s="27"/>
      <x:c r="K58" s="39"/>
      <x:c r="L58" s="45" t="n">
        <x:v>1250000</x:v>
      </x:c>
      <x:c r="M58" s="45" t="n">
        <x:v>2400000</x:v>
      </x:c>
      <x:c r="N58" s="39" t="n">
        <x:v>5476</x:v>
      </x:c>
      <x:c r="O58" s="39" t="n">
        <x:v>80</x:v>
      </x:c>
      <x:c r="P58" s="56" t="b">
        <x:v>0</x:v>
      </x:c>
      <x:c r="Q58" s="56" t="b">
        <x:v>1</x:v>
      </x:c>
      <x:c r="R58" s="56" t="b">
        <x:v>0</x:v>
      </x:c>
      <x:c r="S58" s="27" t="str">
        <x:v>financial_24m_provisional</x:v>
      </x:c>
      <x:c r="T58" s="27" t="str">
        <x:v>no_completed_seasonal_features</x:v>
      </x:c>
    </x:row>
    <x:row r="59" ht="27" customHeight="1">
      <x:c r="A59" s="27" t="str">
        <x:v>124700_20180701_28095_16704</x:v>
      </x:c>
      <x:c r="B59" s="27" t="str">
        <x:v>Dmitriy Stotskiy</x:v>
      </x:c>
      <x:c r="C59" s="27" t="str">
        <x:v>2018-07-01</x:v>
      </x:c>
      <x:c r="D59" s="27" t="str">
        <x:v>18/19</x:v>
      </x:c>
      <x:c r="E59" s="27" t="str">
        <x:v>Ufa</x:v>
      </x:c>
      <x:c r="F59" s="27" t="str">
        <x:v>Krasnodar</x:v>
      </x:c>
      <x:c r="G59" s="45" t="n">
        <x:v>2000000</x:v>
      </x:c>
      <x:c r="H59" s="27" t="str">
        <x:v>positive</x:v>
      </x:c>
      <x:c r="I59" s="59" t="n">
        <x:v>28.581011245953032</x:v>
      </x:c>
      <x:c r="J59" s="27"/>
      <x:c r="K59" s="39"/>
      <x:c r="L59" s="45" t="n">
        <x:v>3000000</x:v>
      </x:c>
      <x:c r="M59" s="45" t="n">
        <x:v>2000000</x:v>
      </x:c>
      <x:c r="N59" s="39" t="n">
        <x:v>3424</x:v>
      </x:c>
      <x:c r="O59" s="39" t="n">
        <x:v>78</x:v>
      </x:c>
      <x:c r="P59" s="56" t="b">
        <x:v>0</x:v>
      </x:c>
      <x:c r="Q59" s="56" t="b">
        <x:v>1</x:v>
      </x:c>
      <x:c r="R59" s="56" t="b">
        <x:v>0</x:v>
      </x:c>
      <x:c r="S59" s="27" t="str">
        <x:v>financial_24m_provisional</x:v>
      </x:c>
      <x:c r="T59" s="27" t="str">
        <x:v>no_completed_seasonal_features</x:v>
      </x:c>
    </x:row>
    <x:row r="60" ht="27" customHeight="1">
      <x:c r="A60" s="27" t="str">
        <x:v>213429_20180701_23611_443</x:v>
      </x:c>
      <x:c r="B60" s="27" t="str">
        <x:v>Émerson</x:v>
      </x:c>
      <x:c r="C60" s="27" t="str">
        <x:v>2018-07-01</x:v>
      </x:c>
      <x:c r="D60" s="27" t="str">
        <x:v>18/19</x:v>
      </x:c>
      <x:c r="E60" s="27" t="str">
        <x:v>Olimpik Donetsk</x:v>
      </x:c>
      <x:c r="F60" s="27" t="str">
        <x:v>Vejle BK</x:v>
      </x:c>
      <x:c r="G60" s="45" t="n">
        <x:v>265000</x:v>
      </x:c>
      <x:c r="H60" s="27" t="str">
        <x:v>positive</x:v>
      </x:c>
      <x:c r="I60" s="59" t="n">
        <x:v>22.732841879025578</x:v>
      </x:c>
      <x:c r="J60" s="27"/>
      <x:c r="K60" s="39"/>
      <x:c r="L60" s="45" t="n">
        <x:v>500000</x:v>
      </x:c>
      <x:c r="M60" s="45" t="n">
        <x:v>250000</x:v>
      </x:c>
      <x:c r="N60" s="39" t="n">
        <x:v>1004</x:v>
      </x:c>
      <x:c r="O60" s="39" t="n">
        <x:v>31</x:v>
      </x:c>
      <x:c r="P60" s="56" t="b">
        <x:v>0</x:v>
      </x:c>
      <x:c r="Q60" s="56" t="b">
        <x:v>1</x:v>
      </x:c>
      <x:c r="R60" s="56" t="b">
        <x:v>0</x:v>
      </x:c>
      <x:c r="S60" s="27" t="str">
        <x:v>financial_24m_provisional</x:v>
      </x:c>
      <x:c r="T60" s="27" t="str">
        <x:v>no_completed_seasonal_features</x:v>
      </x:c>
    </x:row>
    <x:row r="61" ht="27" customHeight="1">
      <x:c r="A61" s="27" t="str">
        <x:v>283871_20180701_113_87</x:v>
      </x:c>
      <x:c r="B61" s="27" t="str">
        <x:v>Florian Dietz</x:v>
      </x:c>
      <x:c r="C61" s="27" t="str">
        <x:v>2018-07-01</x:v>
      </x:c>
      <x:c r="D61" s="27" t="str">
        <x:v>18/19</x:v>
      </x:c>
      <x:c r="E61" s="27" t="str">
        <x:v>Carl Zeiss Jena</x:v>
      </x:c>
      <x:c r="F61" s="27" t="str">
        <x:v>W. Bremen II</x:v>
      </x:c>
      <x:c r="G61" s="45" t="n">
        <x:v>150000</x:v>
      </x:c>
      <x:c r="H61" s="27" t="str">
        <x:v>positive</x:v>
      </x:c>
      <x:c r="I61" s="59" t="n">
        <x:v>19.910059754820427</x:v>
      </x:c>
      <x:c r="J61" s="27"/>
      <x:c r="K61" s="39"/>
      <x:c r="L61" s="45" t="n">
        <x:v>200000</x:v>
      </x:c>
      <x:c r="M61" s="45" t="n">
        <x:v>125000</x:v>
      </x:c>
      <x:c r="N61" s="39" t="n">
        <x:v>0</x:v>
      </x:c>
      <x:c r="O61" s="39" t="n">
        <x:v>0</x:v>
      </x:c>
      <x:c r="P61" s="56" t="b">
        <x:v>0</x:v>
      </x:c>
      <x:c r="Q61" s="56" t="b">
        <x:v>1</x:v>
      </x:c>
      <x:c r="R61" s="56" t="b">
        <x:v>0</x:v>
      </x:c>
      <x:c r="S61" s="27" t="str">
        <x:v>financial_24m_provisional</x:v>
      </x:c>
      <x:c r="T61" s="27" t="str">
        <x:v>no_completed_seasonal_features | insufficient_destination_game_coverage_24m</x:v>
      </x:c>
    </x:row>
    <x:row r="62" ht="27" customHeight="1">
      <x:c r="A62" s="27" t="str">
        <x:v>310458_20180701_839_506</x:v>
      </x:c>
      <x:c r="B62" s="27" t="str">
        <x:v>Giangiacomo Magnani</x:v>
      </x:c>
      <x:c r="C62" s="27" t="str">
        <x:v>2018-07-01</x:v>
      </x:c>
      <x:c r="D62" s="27" t="str">
        <x:v>18/19</x:v>
      </x:c>
      <x:c r="E62" s="27" t="str">
        <x:v>Perugia</x:v>
      </x:c>
      <x:c r="F62" s="27" t="str">
        <x:v>Juventus</x:v>
      </x:c>
      <x:c r="G62" s="45" t="n">
        <x:v>5000000</x:v>
      </x:c>
      <x:c r="H62" s="27" t="str">
        <x:v>positive</x:v>
      </x:c>
      <x:c r="I62" s="59" t="n">
        <x:v>22.741055600046543</x:v>
      </x:c>
      <x:c r="J62" s="27"/>
      <x:c r="K62" s="39"/>
      <x:c r="L62" s="45" t="n">
        <x:v>600000</x:v>
      </x:c>
      <x:c r="M62" s="45" t="n">
        <x:v>3200000</x:v>
      </x:c>
      <x:c r="N62" s="39" t="n">
        <x:v>0</x:v>
      </x:c>
      <x:c r="O62" s="39" t="n">
        <x:v>92</x:v>
      </x:c>
      <x:c r="P62" s="56" t="b">
        <x:v>0</x:v>
      </x:c>
      <x:c r="Q62" s="56" t="b">
        <x:v>1</x:v>
      </x:c>
      <x:c r="R62" s="56" t="b">
        <x:v>0</x:v>
      </x:c>
      <x:c r="S62" s="27" t="str">
        <x:v>financial_24m_provisional</x:v>
      </x:c>
      <x:c r="T62" s="27" t="str">
        <x:v>no_completed_seasonal_features</x:v>
      </x:c>
    </x:row>
    <x:row r="63" ht="27" customHeight="1">
      <x:c r="A63" s="27" t="str">
        <x:v>295780_20180701_4603_683</x:v>
      </x:c>
      <x:c r="B63" s="27" t="str">
        <x:v>Giannis Masouras</x:v>
      </x:c>
      <x:c r="C63" s="27" t="str">
        <x:v>2018-07-01</x:v>
      </x:c>
      <x:c r="D63" s="27" t="str">
        <x:v>18/19</x:v>
      </x:c>
      <x:c r="E63" s="27" t="str">
        <x:v>AE Larisa</x:v>
      </x:c>
      <x:c r="F63" s="27" t="str">
        <x:v>Olympiacos</x:v>
      </x:c>
      <x:c r="G63" s="45" t="n">
        <x:v>1000000</x:v>
      </x:c>
      <x:c r="H63" s="27" t="str">
        <x:v>positive</x:v>
      </x:c>
      <x:c r="I63" s="59" t="n">
        <x:v>21.85123582277528</x:v>
      </x:c>
      <x:c r="J63" s="27"/>
      <x:c r="K63" s="39"/>
      <x:c r="L63" s="45" t="n">
        <x:v>1000000</x:v>
      </x:c>
      <x:c r="M63" s="45" t="n">
        <x:v>600000</x:v>
      </x:c>
      <x:c r="N63" s="39" t="n">
        <x:v>187</x:v>
      </x:c>
      <x:c r="O63" s="39" t="n">
        <x:v>96</x:v>
      </x:c>
      <x:c r="P63" s="56" t="b">
        <x:v>0</x:v>
      </x:c>
      <x:c r="Q63" s="56" t="b">
        <x:v>1</x:v>
      </x:c>
      <x:c r="R63" s="56" t="b">
        <x:v>0</x:v>
      </x:c>
      <x:c r="S63" s="27" t="str">
        <x:v>financial_24m_provisional</x:v>
      </x:c>
      <x:c r="T63" s="27" t="str">
        <x:v>no_completed_seasonal_features</x:v>
      </x:c>
    </x:row>
    <x:row r="64" ht="27" customHeight="1">
      <x:c r="A64" s="27" t="str">
        <x:v>322985_20180701_234_1269</x:v>
      </x:c>
      <x:c r="B64" s="27" t="str">
        <x:v>Gustavo Hamer</x:v>
      </x:c>
      <x:c r="C64" s="27" t="str">
        <x:v>2018-07-01</x:v>
      </x:c>
      <x:c r="D64" s="27" t="str">
        <x:v>18/19</x:v>
      </x:c>
      <x:c r="E64" s="27" t="str">
        <x:v>Feyenoord</x:v>
      </x:c>
      <x:c r="F64" s="27" t="str">
        <x:v>PEC Zwolle</x:v>
      </x:c>
      <x:c r="G64" s="45" t="n">
        <x:v>765000</x:v>
      </x:c>
      <x:c r="H64" s="27" t="str">
        <x:v>positive</x:v>
      </x:c>
      <x:c r="I64" s="59" t="n">
        <x:v>21.018912092650773</x:v>
      </x:c>
      <x:c r="J64" s="27"/>
      <x:c r="K64" s="39"/>
      <x:c r="L64" s="45" t="n">
        <x:v>500000</x:v>
      </x:c>
      <x:c r="M64" s="45" t="n">
        <x:v>800000</x:v>
      </x:c>
      <x:c r="N64" s="39" t="n">
        <x:v>4086</x:v>
      </x:c>
      <x:c r="O64" s="39" t="n">
        <x:v>65</x:v>
      </x:c>
      <x:c r="P64" s="56" t="b">
        <x:v>0</x:v>
      </x:c>
      <x:c r="Q64" s="56" t="b">
        <x:v>1</x:v>
      </x:c>
      <x:c r="R64" s="56" t="b">
        <x:v>0</x:v>
      </x:c>
      <x:c r="S64" s="27" t="str">
        <x:v>financial_24m_provisional</x:v>
      </x:c>
      <x:c r="T64" s="27" t="str">
        <x:v>no_completed_seasonal_features</x:v>
      </x:c>
    </x:row>
    <x:row r="65" ht="27" customHeight="1">
      <x:c r="A65" s="27" t="str">
        <x:v>221311_20180701_1532_1531</x:v>
      </x:c>
      <x:c r="B65" s="27" t="str">
        <x:v>Iván Sánchez</x:v>
      </x:c>
      <x:c r="C65" s="27" t="str">
        <x:v>2018-07-01</x:v>
      </x:c>
      <x:c r="D65" s="27" t="str">
        <x:v>18/19</x:v>
      </x:c>
      <x:c r="E65" s="27" t="str">
        <x:v>Albacete</x:v>
      </x:c>
      <x:c r="F65" s="27" t="str">
        <x:v>Elche CF</x:v>
      </x:c>
      <x:c r="G65" s="45" t="n">
        <x:v>150000</x:v>
      </x:c>
      <x:c r="H65" s="27" t="str">
        <x:v>positive</x:v>
      </x:c>
      <x:c r="I65" s="59" t="n">
        <x:v>25.769180749775835</x:v>
      </x:c>
      <x:c r="J65" s="27"/>
      <x:c r="K65" s="39"/>
      <x:c r="L65" s="45" t="n">
        <x:v>300000</x:v>
      </x:c>
      <x:c r="M65" s="45" t="n">
        <x:v>650000</x:v>
      </x:c>
      <x:c r="N65" s="39" t="n">
        <x:v>0</x:v>
      </x:c>
      <x:c r="O65" s="39" t="n">
        <x:v>5</x:v>
      </x:c>
      <x:c r="P65" s="56" t="b">
        <x:v>0</x:v>
      </x:c>
      <x:c r="Q65" s="56" t="b">
        <x:v>1</x:v>
      </x:c>
      <x:c r="R65" s="56" t="b">
        <x:v>0</x:v>
      </x:c>
      <x:c r="S65" s="27" t="str">
        <x:v>financial_24m_provisional</x:v>
      </x:c>
      <x:c r="T65" s="27" t="str">
        <x:v>no_completed_seasonal_features | insufficient_destination_game_coverage_24m</x:v>
      </x:c>
    </x:row>
    <x:row r="66" ht="27" customHeight="1">
      <x:c r="A66" s="27" t="str">
        <x:v>27490_20180701_1147_826</x:v>
      </x:c>
      <x:c r="B66" s="27" t="str">
        <x:v>Jean-Louis Leca</x:v>
      </x:c>
      <x:c r="C66" s="27" t="str">
        <x:v>2018-07-01</x:v>
      </x:c>
      <x:c r="D66" s="27" t="str">
        <x:v>18/19</x:v>
      </x:c>
      <x:c r="E66" s="27" t="str">
        <x:v>AC Ajaccio</x:v>
      </x:c>
      <x:c r="F66" s="27" t="str">
        <x:v>Lens</x:v>
      </x:c>
      <x:c r="G66" s="45" t="n">
        <x:v>300000</x:v>
      </x:c>
      <x:c r="H66" s="27" t="str">
        <x:v>positive</x:v>
      </x:c>
      <x:c r="I66" s="59" t="n">
        <x:v>32.775484780659426</x:v>
      </x:c>
      <x:c r="J66" s="27"/>
      <x:c r="K66" s="39"/>
      <x:c r="L66" s="45" t="n">
        <x:v>1000000</x:v>
      </x:c>
      <x:c r="M66" s="45" t="n">
        <x:v>1300000</x:v>
      </x:c>
      <x:c r="N66" s="39" t="n">
        <x:v>0</x:v>
      </x:c>
      <x:c r="O66" s="39" t="n">
        <x:v>0</x:v>
      </x:c>
      <x:c r="P66" s="56" t="b">
        <x:v>0</x:v>
      </x:c>
      <x:c r="Q66" s="56" t="b">
        <x:v>1</x:v>
      </x:c>
      <x:c r="R66" s="56" t="b">
        <x:v>0</x:v>
      </x:c>
      <x:c r="S66" s="27" t="str">
        <x:v>financial_24m_provisional</x:v>
      </x:c>
      <x:c r="T66" s="27" t="str">
        <x:v>no_completed_seasonal_features | insufficient_destination_game_coverage_24m</x:v>
      </x:c>
    </x:row>
    <x:row r="67" ht="27" customHeight="1">
      <x:c r="A67" s="27" t="str">
        <x:v>240252_20180701_11083_28643</x:v>
      </x:c>
      <x:c r="B67" s="27" t="str">
        <x:v>Karlo Lulić</x:v>
      </x:c>
      <x:c r="C67" s="27" t="str">
        <x:v>2018-07-01</x:v>
      </x:c>
      <x:c r="D67" s="27" t="str">
        <x:v>18/19</x:v>
      </x:c>
      <x:c r="E67" s="27" t="str">
        <x:v>NK Rudes</x:v>
      </x:c>
      <x:c r="F67" s="27" t="str">
        <x:v>Waasland-Beveren</x:v>
      </x:c>
      <x:c r="G67" s="45" t="n">
        <x:v>220000</x:v>
      </x:c>
      <x:c r="H67" s="27" t="str">
        <x:v>positive</x:v>
      </x:c>
      <x:c r="I67" s="59" t="n">
        <x:v>22.14145396551606</x:v>
      </x:c>
      <x:c r="J67" s="27"/>
      <x:c r="K67" s="39"/>
      <x:c r="L67" s="45" t="n">
        <x:v>400000</x:v>
      </x:c>
      <x:c r="M67" s="45" t="n">
        <x:v>700000</x:v>
      </x:c>
      <x:c r="N67" s="39" t="n">
        <x:v>529</x:v>
      </x:c>
      <x:c r="O67" s="39" t="n">
        <x:v>59</x:v>
      </x:c>
      <x:c r="P67" s="56" t="b">
        <x:v>0</x:v>
      </x:c>
      <x:c r="Q67" s="56" t="b">
        <x:v>1</x:v>
      </x:c>
      <x:c r="R67" s="56" t="b">
        <x:v>0</x:v>
      </x:c>
      <x:c r="S67" s="27" t="str">
        <x:v>financial_24m_provisional</x:v>
      </x:c>
      <x:c r="T67" s="27" t="str">
        <x:v>no_completed_seasonal_features</x:v>
      </x:c>
    </x:row>
    <x:row r="68" ht="27" customHeight="1">
      <x:c r="A68" s="27" t="str">
        <x:v>231712_20180701_6808_790</x:v>
      </x:c>
      <x:c r="B68" s="27" t="str">
        <x:v>Kenan Piric</x:v>
      </x:c>
      <x:c r="C68" s="27" t="str">
        <x:v>2018-07-01</x:v>
      </x:c>
      <x:c r="D68" s="27" t="str">
        <x:v>18/19</x:v>
      </x:c>
      <x:c r="E68" s="27" t="str">
        <x:v>Zrinjski Mostar</x:v>
      </x:c>
      <x:c r="F68" s="27" t="str">
        <x:v>NK Maribor</x:v>
      </x:c>
      <x:c r="G68" s="45" t="n">
        <x:v>300000</x:v>
      </x:c>
      <x:c r="H68" s="27" t="str">
        <x:v>positive</x:v>
      </x:c>
      <x:c r="I68" s="59" t="n">
        <x:v>23.984065381219327</x:v>
      </x:c>
      <x:c r="J68" s="27"/>
      <x:c r="K68" s="39"/>
      <x:c r="L68" s="45" t="n">
        <x:v>800000</x:v>
      </x:c>
      <x:c r="M68" s="45" t="n">
        <x:v>800000</x:v>
      </x:c>
      <x:c r="N68" s="39" t="n">
        <x:v>0</x:v>
      </x:c>
      <x:c r="O68" s="39" t="n">
        <x:v>14</x:v>
      </x:c>
      <x:c r="P68" s="56" t="b">
        <x:v>0</x:v>
      </x:c>
      <x:c r="Q68" s="56" t="b">
        <x:v>1</x:v>
      </x:c>
      <x:c r="R68" s="56" t="b">
        <x:v>0</x:v>
      </x:c>
      <x:c r="S68" s="27" t="str">
        <x:v>financial_24m_provisional</x:v>
      </x:c>
      <x:c r="T68" s="27" t="str">
        <x:v>no_completed_seasonal_features | insufficient_destination_game_coverage_24m</x:v>
      </x:c>
    </x:row>
    <x:row r="69" ht="27" customHeight="1">
      <x:c r="A69" s="27" t="str">
        <x:v>164912_20180701_252_1160</x:v>
      </x:c>
      <x:c r="B69" s="27" t="str">
        <x:v>Loïck Landre</x:v>
      </x:c>
      <x:c r="C69" s="27" t="str">
        <x:v>2018-07-01</x:v>
      </x:c>
      <x:c r="D69" s="27" t="str">
        <x:v>18/19</x:v>
      </x:c>
      <x:c r="E69" s="27" t="str">
        <x:v>Genoa</x:v>
      </x:c>
      <x:c r="F69" s="27" t="str">
        <x:v>Nîmes Olympique</x:v>
      </x:c>
      <x:c r="G69" s="45" t="n">
        <x:v>150000</x:v>
      </x:c>
      <x:c r="H69" s="27" t="str">
        <x:v>positive</x:v>
      </x:c>
      <x:c r="I69" s="59" t="n">
        <x:v>26.155225637761212</x:v>
      </x:c>
      <x:c r="J69" s="27"/>
      <x:c r="K69" s="39"/>
      <x:c r="L69" s="45" t="n">
        <x:v>200000</x:v>
      </x:c>
      <x:c r="M69" s="45" t="n">
        <x:v>1600000</x:v>
      </x:c>
      <x:c r="N69" s="39" t="n">
        <x:v>2521</x:v>
      </x:c>
      <x:c r="O69" s="39" t="n">
        <x:v>66</x:v>
      </x:c>
      <x:c r="P69" s="56" t="b">
        <x:v>0</x:v>
      </x:c>
      <x:c r="Q69" s="56" t="b">
        <x:v>1</x:v>
      </x:c>
      <x:c r="R69" s="56" t="b">
        <x:v>0</x:v>
      </x:c>
      <x:c r="S69" s="27" t="str">
        <x:v>financial_24m_provisional</x:v>
      </x:c>
      <x:c r="T69" s="27" t="str">
        <x:v>no_completed_seasonal_features</x:v>
      </x:c>
    </x:row>
    <x:row r="70" ht="27" customHeight="1">
      <x:c r="A70" s="27" t="str">
        <x:v>125103_20180701_35_38</x:v>
      </x:c>
      <x:c r="B70" s="27" t="str">
        <x:v>Marvin Ducksch</x:v>
      </x:c>
      <x:c r="C70" s="27" t="str">
        <x:v>2018-07-01</x:v>
      </x:c>
      <x:c r="D70" s="27" t="str">
        <x:v>18/19</x:v>
      </x:c>
      <x:c r="E70" s="27" t="str">
        <x:v>St. Pauli</x:v>
      </x:c>
      <x:c r="F70" s="27" t="str">
        <x:v>F. Düsseldorf</x:v>
      </x:c>
      <x:c r="G70" s="45" t="n">
        <x:v>2250000</x:v>
      </x:c>
      <x:c r="H70" s="27" t="str">
        <x:v>positive</x:v>
      </x:c>
      <x:c r="I70" s="59" t="n">
        <x:v>24.318090036071926</x:v>
      </x:c>
      <x:c r="J70" s="27"/>
      <x:c r="K70" s="39"/>
      <x:c r="L70" s="45" t="n">
        <x:v>3000000</x:v>
      </x:c>
      <x:c r="M70" s="45" t="n">
        <x:v>2000000</x:v>
      </x:c>
      <x:c r="N70" s="39" t="n">
        <x:v>1041</x:v>
      </x:c>
      <x:c r="O70" s="39" t="n">
        <x:v>75</x:v>
      </x:c>
      <x:c r="P70" s="56" t="b">
        <x:v>0</x:v>
      </x:c>
      <x:c r="Q70" s="56" t="b">
        <x:v>1</x:v>
      </x:c>
      <x:c r="R70" s="56" t="b">
        <x:v>0</x:v>
      </x:c>
      <x:c r="S70" s="27" t="str">
        <x:v>financial_24m_provisional</x:v>
      </x:c>
      <x:c r="T70" s="27" t="str">
        <x:v>no_completed_seasonal_features</x:v>
      </x:c>
    </x:row>
    <x:row r="71" ht="27" customHeight="1">
      <x:c r="A71" s="27" t="str">
        <x:v>174733_20180701_1184_1038</x:v>
      </x:c>
      <x:c r="B71" s="27" t="str">
        <x:v>Omar Colley</x:v>
      </x:c>
      <x:c r="C71" s="27" t="str">
        <x:v>2018-07-01</x:v>
      </x:c>
      <x:c r="D71" s="27" t="str">
        <x:v>18/19</x:v>
      </x:c>
      <x:c r="E71" s="27" t="str">
        <x:v>Genk</x:v>
      </x:c>
      <x:c r="F71" s="27" t="str">
        <x:v>Sampdoria</x:v>
      </x:c>
      <x:c r="G71" s="45" t="n">
        <x:v>9250000</x:v>
      </x:c>
      <x:c r="H71" s="27" t="str">
        <x:v>positive</x:v>
      </x:c>
      <x:c r="I71" s="59" t="n">
        <x:v>25.68430563255919</x:v>
      </x:c>
      <x:c r="J71" s="27"/>
      <x:c r="K71" s="39"/>
      <x:c r="L71" s="45" t="n">
        <x:v>5000000</x:v>
      </x:c>
      <x:c r="M71" s="45" t="n">
        <x:v>5000000</x:v>
      </x:c>
      <x:c r="N71" s="39" t="n">
        <x:v>4105</x:v>
      </x:c>
      <x:c r="O71" s="39" t="n">
        <x:v>71</x:v>
      </x:c>
      <x:c r="P71" s="56" t="b">
        <x:v>0</x:v>
      </x:c>
      <x:c r="Q71" s="56" t="b">
        <x:v>1</x:v>
      </x:c>
      <x:c r="R71" s="56" t="b">
        <x:v>0</x:v>
      </x:c>
      <x:c r="S71" s="27" t="str">
        <x:v>financial_24m_provisional</x:v>
      </x:c>
      <x:c r="T71" s="27" t="str">
        <x:v>no_completed_seasonal_features</x:v>
      </x:c>
    </x:row>
    <x:row r="72" ht="27" customHeight="1">
      <x:c r="A72" s="27" t="str">
        <x:v>355104_20180701_12_2921</x:v>
      </x:c>
      <x:c r="B72" s="27" t="str">
        <x:v>Pepín Machín</x:v>
      </x:c>
      <x:c r="C72" s="27" t="str">
        <x:v>2018-07-01</x:v>
      </x:c>
      <x:c r="D72" s="27" t="str">
        <x:v>18/19</x:v>
      </x:c>
      <x:c r="E72" s="27" t="str">
        <x:v>AS Roma</x:v>
      </x:c>
      <x:c r="F72" s="27" t="str">
        <x:v>Pescara</x:v>
      </x:c>
      <x:c r="G72" s="45" t="n">
        <x:v>1800000</x:v>
      </x:c>
      <x:c r="H72" s="27" t="str">
        <x:v>positive</x:v>
      </x:c>
      <x:c r="I72" s="59" t="n">
        <x:v>21.878614892845164</x:v>
      </x:c>
      <x:c r="J72" s="27"/>
      <x:c r="K72" s="39"/>
      <x:c r="L72" s="45" t="n">
        <x:v>800000</x:v>
      </x:c>
      <x:c r="M72" s="45" t="n">
        <x:v>1500000</x:v>
      </x:c>
      <x:c r="N72" s="39" t="n">
        <x:v>166</x:v>
      </x:c>
      <x:c r="O72" s="39" t="n">
        <x:v>4</x:v>
      </x:c>
      <x:c r="P72" s="56" t="b">
        <x:v>0</x:v>
      </x:c>
      <x:c r="Q72" s="56" t="b">
        <x:v>1</x:v>
      </x:c>
      <x:c r="R72" s="56" t="b">
        <x:v>0</x:v>
      </x:c>
      <x:c r="S72" s="27" t="str">
        <x:v>financial_24m_provisional</x:v>
      </x:c>
      <x:c r="T72" s="27" t="str">
        <x:v>no_completed_seasonal_features | insufficient_destination_game_coverage_24m</x:v>
      </x:c>
    </x:row>
    <x:row r="73" ht="27" customHeight="1">
      <x:c r="A73" s="27" t="str">
        <x:v>129092_20180701_260_499</x:v>
      </x:c>
      <x:c r="B73" s="27" t="str">
        <x:v>Rasmus Thelander</x:v>
      </x:c>
      <x:c r="C73" s="27" t="str">
        <x:v>2018-07-01</x:v>
      </x:c>
      <x:c r="D73" s="27" t="str">
        <x:v>18/19</x:v>
      </x:c>
      <x:c r="E73" s="27" t="str">
        <x:v>FC Zürich</x:v>
      </x:c>
      <x:c r="F73" s="27" t="str">
        <x:v>Vitesse</x:v>
      </x:c>
      <x:c r="G73" s="45" t="n">
        <x:v>250000</x:v>
      </x:c>
      <x:c r="H73" s="27" t="str">
        <x:v>positive</x:v>
      </x:c>
      <x:c r="I73" s="59" t="n">
        <x:v>26.979335646864754</x:v>
      </x:c>
      <x:c r="J73" s="27"/>
      <x:c r="K73" s="39"/>
      <x:c r="L73" s="45" t="n">
        <x:v>1000000</x:v>
      </x:c>
      <x:c r="M73" s="45" t="n">
        <x:v>600000</x:v>
      </x:c>
      <x:c r="N73" s="39" t="n">
        <x:v>894</x:v>
      </x:c>
      <x:c r="O73" s="39" t="n">
        <x:v>72</x:v>
      </x:c>
      <x:c r="P73" s="56" t="b">
        <x:v>0</x:v>
      </x:c>
      <x:c r="Q73" s="56" t="b">
        <x:v>1</x:v>
      </x:c>
      <x:c r="R73" s="56" t="b">
        <x:v>0</x:v>
      </x:c>
      <x:c r="S73" s="27" t="str">
        <x:v>financial_24m_provisional</x:v>
      </x:c>
      <x:c r="T73" s="27" t="str">
        <x:v>no_completed_seasonal_features</x:v>
      </x:c>
    </x:row>
    <x:row r="74" ht="27" customHeight="1">
      <x:c r="A74" s="27" t="str">
        <x:v>215876_20180701_720_1003</x:v>
      </x:c>
      <x:c r="B74" s="27" t="str">
        <x:v>Ricardo Pereira</x:v>
      </x:c>
      <x:c r="C74" s="27" t="str">
        <x:v>2018-07-01</x:v>
      </x:c>
      <x:c r="D74" s="27" t="str">
        <x:v>18/19</x:v>
      </x:c>
      <x:c r="E74" s="27" t="str">
        <x:v>Porto</x:v>
      </x:c>
      <x:c r="F74" s="27" t="str">
        <x:v>Leicester</x:v>
      </x:c>
      <x:c r="G74" s="45" t="n">
        <x:v>22000000</x:v>
      </x:c>
      <x:c r="H74" s="27" t="str">
        <x:v>positive</x:v>
      </x:c>
      <x:c r="I74" s="59" t="n">
        <x:v>24.73425190113418</x:v>
      </x:c>
      <x:c r="J74" s="27"/>
      <x:c r="K74" s="39"/>
      <x:c r="L74" s="45" t="n">
        <x:v>20000000</x:v>
      </x:c>
      <x:c r="M74" s="45" t="n">
        <x:v>32000000</x:v>
      </x:c>
      <x:c r="N74" s="39" t="n">
        <x:v>5735</x:v>
      </x:c>
      <x:c r="O74" s="39" t="n">
        <x:v>74</x:v>
      </x:c>
      <x:c r="P74" s="56" t="b">
        <x:v>0</x:v>
      </x:c>
      <x:c r="Q74" s="56" t="b">
        <x:v>1</x:v>
      </x:c>
      <x:c r="R74" s="56" t="b">
        <x:v>0</x:v>
      </x:c>
      <x:c r="S74" s="27" t="str">
        <x:v>financial_24m_provisional</x:v>
      </x:c>
      <x:c r="T74" s="27" t="str">
        <x:v>no_completed_seasonal_features</x:v>
      </x:c>
    </x:row>
    <x:row r="75" ht="27" customHeight="1">
      <x:c r="A75" s="27" t="str">
        <x:v>342012_20180701_1434_1090</x:v>
      </x:c>
      <x:c r="B75" s="27" t="str">
        <x:v>Rody de Boer</x:v>
      </x:c>
      <x:c r="C75" s="27" t="str">
        <x:v>2018-07-01</x:v>
      </x:c>
      <x:c r="D75" s="27" t="str">
        <x:v>18/19</x:v>
      </x:c>
      <x:c r="E75" s="27" t="str">
        <x:v>Telstar</x:v>
      </x:c>
      <x:c r="F75" s="27" t="str">
        <x:v>AZ Alkmaar</x:v>
      </x:c>
      <x:c r="G75" s="45" t="n">
        <x:v>250000</x:v>
      </x:c>
      <x:c r="H75" s="27" t="str">
        <x:v>positive</x:v>
      </x:c>
      <x:c r="I75" s="59" t="n">
        <x:v>20.85737557923845</x:v>
      </x:c>
      <x:c r="J75" s="27"/>
      <x:c r="K75" s="39"/>
      <x:c r="L75" s="45" t="n">
        <x:v>400000</x:v>
      </x:c>
      <x:c r="M75" s="45" t="n">
        <x:v>750000</x:v>
      </x:c>
      <x:c r="N75" s="39" t="n">
        <x:v>172</x:v>
      </x:c>
      <x:c r="O75" s="39" t="n">
        <x:v>83</x:v>
      </x:c>
      <x:c r="P75" s="56" t="b">
        <x:v>0</x:v>
      </x:c>
      <x:c r="Q75" s="56" t="b">
        <x:v>1</x:v>
      </x:c>
      <x:c r="R75" s="56" t="b">
        <x:v>0</x:v>
      </x:c>
      <x:c r="S75" s="27" t="str">
        <x:v>financial_24m_provisional</x:v>
      </x:c>
      <x:c r="T75" s="27" t="str">
        <x:v>no_completed_seasonal_features</x:v>
      </x:c>
    </x:row>
    <x:row r="76" ht="27" customHeight="1">
      <x:c r="A76" s="27" t="str">
        <x:v>41912_20180701_9826_1390</x:v>
      </x:c>
      <x:c r="B76" s="27" t="str">
        <x:v>Simone Aresti</x:v>
      </x:c>
      <x:c r="C76" s="27" t="str">
        <x:v>2018-07-01</x:v>
      </x:c>
      <x:c r="D76" s="27" t="str">
        <x:v>18/19</x:v>
      </x:c>
      <x:c r="E76" s="27" t="str">
        <x:v>Olbia</x:v>
      </x:c>
      <x:c r="F76" s="27" t="str">
        <x:v>Cagliari Calcio</x:v>
      </x:c>
      <x:c r="G76" s="45" t="n">
        <x:v>275000</x:v>
      </x:c>
      <x:c r="H76" s="27" t="str">
        <x:v>positive</x:v>
      </x:c>
      <x:c r="I76" s="59" t="n">
        <x:v>32.296351054436435</x:v>
      </x:c>
      <x:c r="J76" s="27"/>
      <x:c r="K76" s="39"/>
      <x:c r="L76" s="45" t="n">
        <x:v>225000</x:v>
      </x:c>
      <x:c r="M76" s="45" t="n">
        <x:v>175000</x:v>
      </x:c>
      <x:c r="N76" s="39" t="n">
        <x:v>49</x:v>
      </x:c>
      <x:c r="O76" s="39" t="n">
        <x:v>72</x:v>
      </x:c>
      <x:c r="P76" s="56" t="b">
        <x:v>0</x:v>
      </x:c>
      <x:c r="Q76" s="56" t="b">
        <x:v>1</x:v>
      </x:c>
      <x:c r="R76" s="56" t="b">
        <x:v>0</x:v>
      </x:c>
      <x:c r="S76" s="27" t="str">
        <x:v>financial_24m_provisional</x:v>
      </x:c>
      <x:c r="T76" s="27" t="str">
        <x:v>no_completed_seasonal_features</x:v>
      </x:c>
    </x:row>
    <x:row r="77" ht="27" customHeight="1">
      <x:c r="A77" s="27" t="str">
        <x:v>182891_20180701_347_58</x:v>
      </x:c>
      <x:c r="B77" s="27" t="str">
        <x:v>Thomas Didillon-Hödl</x:v>
      </x:c>
      <x:c r="C77" s="27" t="str">
        <x:v>2018-07-01</x:v>
      </x:c>
      <x:c r="D77" s="27" t="str">
        <x:v>18/19</x:v>
      </x:c>
      <x:c r="E77" s="27" t="str">
        <x:v>FC Metz</x:v>
      </x:c>
      <x:c r="F77" s="27" t="str">
        <x:v>RSC Anderlecht</x:v>
      </x:c>
      <x:c r="G77" s="45" t="n">
        <x:v>2200000</x:v>
      </x:c>
      <x:c r="H77" s="27" t="str">
        <x:v>positive</x:v>
      </x:c>
      <x:c r="I77" s="59" t="n">
        <x:v>22.590470714662175</x:v>
      </x:c>
      <x:c r="J77" s="27"/>
      <x:c r="K77" s="39"/>
      <x:c r="L77" s="45" t="n">
        <x:v>2500000</x:v>
      </x:c>
      <x:c r="M77" s="45" t="n">
        <x:v>2200000</x:v>
      </x:c>
      <x:c r="N77" s="39" t="n">
        <x:v>3240</x:v>
      </x:c>
      <x:c r="O77" s="39" t="n">
        <x:v>65</x:v>
      </x:c>
      <x:c r="P77" s="56" t="b">
        <x:v>0</x:v>
      </x:c>
      <x:c r="Q77" s="56" t="b">
        <x:v>1</x:v>
      </x:c>
      <x:c r="R77" s="56" t="b">
        <x:v>0</x:v>
      </x:c>
      <x:c r="S77" s="27" t="str">
        <x:v>financial_24m_provisional</x:v>
      </x:c>
      <x:c r="T77" s="27" t="str">
        <x:v>no_completed_seasonal_features</x:v>
      </x:c>
    </x:row>
    <x:row r="78" ht="27" customHeight="1">
      <x:c r="A78" s="27" t="str">
        <x:v>177964_20180701_6371_2503</x:v>
      </x:c>
      <x:c r="B78" s="27" t="str">
        <x:v>Yusupha Njie</x:v>
      </x:c>
      <x:c r="C78" s="27" t="str">
        <x:v>2018-07-01</x:v>
      </x:c>
      <x:c r="D78" s="27" t="str">
        <x:v>18/19</x:v>
      </x:c>
      <x:c r="E78" s="27" t="str">
        <x:v>FUS Rabat</x:v>
      </x:c>
      <x:c r="F78" s="27" t="str">
        <x:v>Boavista</x:v>
      </x:c>
      <x:c r="G78" s="45" t="n">
        <x:v>400000</x:v>
      </x:c>
      <x:c r="H78" s="27" t="str">
        <x:v>positive</x:v>
      </x:c>
      <x:c r="I78" s="59" t="n">
        <x:v>24.334517478113856</x:v>
      </x:c>
      <x:c r="J78" s="27"/>
      <x:c r="K78" s="39"/>
      <x:c r="L78" s="45" t="n">
        <x:v>600000</x:v>
      </x:c>
      <x:c r="M78" s="45" t="n">
        <x:v>650000</x:v>
      </x:c>
      <x:c r="N78" s="39" t="n">
        <x:v>1752</x:v>
      </x:c>
      <x:c r="O78" s="39" t="n">
        <x:v>65</x:v>
      </x:c>
      <x:c r="P78" s="56" t="b">
        <x:v>0</x:v>
      </x:c>
      <x:c r="Q78" s="56" t="b">
        <x:v>1</x:v>
      </x:c>
      <x:c r="R78" s="56" t="b">
        <x:v>0</x:v>
      </x:c>
      <x:c r="S78" s="27" t="str">
        <x:v>financial_24m_provisional</x:v>
      </x:c>
      <x:c r="T78" s="27" t="str">
        <x:v>no_completed_seasonal_features</x:v>
      </x:c>
    </x:row>
    <x:row r="79" ht="27" customHeight="1">
      <x:c r="A79" s="27" t="str">
        <x:v>230222_20180701_940_472</x:v>
      </x:c>
      <x:c r="B79" s="27" t="str">
        <x:v>Álvaro Lemos</x:v>
      </x:c>
      <x:c r="C79" s="27" t="str">
        <x:v>2018-07-01</x:v>
      </x:c>
      <x:c r="D79" s="27" t="str">
        <x:v>18/19</x:v>
      </x:c>
      <x:c r="E79" s="27" t="str">
        <x:v>Celta de Vigo</x:v>
      </x:c>
      <x:c r="F79" s="27" t="str">
        <x:v>UD Las Palmas</x:v>
      </x:c>
      <x:c r="G79" s="45" t="n">
        <x:v>300000</x:v>
      </x:c>
      <x:c r="H79" s="27" t="str">
        <x:v>positive</x:v>
      </x:c>
      <x:c r="I79" s="59" t="n">
        <x:v>25.254454232461995</x:v>
      </x:c>
      <x:c r="J79" s="27"/>
      <x:c r="K79" s="39"/>
      <x:c r="L79" s="45" t="n">
        <x:v>300000</x:v>
      </x:c>
      <x:c r="M79" s="45" t="n">
        <x:v>650000</x:v>
      </x:c>
      <x:c r="N79" s="39" t="n">
        <x:v>0</x:v>
      </x:c>
      <x:c r="O79" s="39" t="n">
        <x:v>3</x:v>
      </x:c>
      <x:c r="P79" s="56" t="b">
        <x:v>0</x:v>
      </x:c>
      <x:c r="Q79" s="56" t="b">
        <x:v>1</x:v>
      </x:c>
      <x:c r="R79" s="56" t="b">
        <x:v>0</x:v>
      </x:c>
      <x:c r="S79" s="27" t="str">
        <x:v>financial_24m_provisional</x:v>
      </x:c>
      <x:c r="T79" s="27" t="str">
        <x:v>no_completed_seasonal_features | insufficient_destination_game_coverage_24m</x:v>
      </x:c>
    </x:row>
    <x:row r="80" ht="27" customHeight="1">
      <x:c r="A80" s="27" t="str">
        <x:v>315332_20180701_24_38</x:v>
      </x:c>
      <x:c r="B80" s="27" t="str">
        <x:v>Aymen Barkok</x:v>
      </x:c>
      <x:c r="C80" s="27" t="str">
        <x:v>2018-07-01</x:v>
      </x:c>
      <x:c r="D80" s="27" t="str">
        <x:v>18/19</x:v>
      </x:c>
      <x:c r="E80" s="27" t="str">
        <x:v>Frankfurt</x:v>
      </x:c>
      <x:c r="F80" s="27" t="str">
        <x:v>F. Düsseldorf</x:v>
      </x:c>
      <x:c r="G80" s="45" t="n">
        <x:v>0</x:v>
      </x:c>
      <x:c r="H80" s="27" t="str">
        <x:v>zero</x:v>
      </x:c>
      <x:c r="I80" s="59" t="n">
        <x:v>20.112664873337575</x:v>
      </x:c>
      <x:c r="J80" s="27" t="str">
        <x:v>2017-2018</x:v>
      </x:c>
      <x:c r="K80" s="39" t="n">
        <x:v>314</x:v>
      </x:c>
      <x:c r="L80" s="45" t="n">
        <x:v>2000000</x:v>
      </x:c>
      <x:c r="M80" s="45" t="n">
        <x:v>1000000</x:v>
      </x:c>
      <x:c r="N80" s="39" t="n">
        <x:v>770</x:v>
      </x:c>
      <x:c r="O80" s="39" t="n">
        <x:v>75</x:v>
      </x:c>
      <x:c r="P80" s="56" t="b">
        <x:v>1</x:v>
      </x:c>
      <x:c r="Q80" s="56" t="b">
        <x:v>0</x:v>
      </x:c>
      <x:c r="R80" s="56" t="b">
        <x:v>0</x:v>
      </x:c>
      <x:c r="S80" s="27" t="str">
        <x:v>sporting_24m</x:v>
      </x:c>
      <x:c r="T80" s="27" t="str">
        <x:v>fee_zero_or_unclassified_movement</x:v>
      </x:c>
    </x:row>
    <x:row r="81" ht="27" customHeight="1">
      <x:c r="A81" s="27" t="str">
        <x:v>264567_20180701_1420_1160</x:v>
      </x:c>
      <x:c r="B81" s="27" t="str">
        <x:v>Baptiste Guillaume</x:v>
      </x:c>
      <x:c r="C81" s="27" t="str">
        <x:v>2018-07-01</x:v>
      </x:c>
      <x:c r="D81" s="27" t="str">
        <x:v>18/19</x:v>
      </x:c>
      <x:c r="E81" s="27" t="str">
        <x:v>Angers SCO</x:v>
      </x:c>
      <x:c r="F81" s="27" t="str">
        <x:v>Nîmes Olympique</x:v>
      </x:c>
      <x:c r="G81" s="45" t="n">
        <x:v>0</x:v>
      </x:c>
      <x:c r="H81" s="27" t="str">
        <x:v>zero</x:v>
      </x:c>
      <x:c r="I81" s="59" t="n">
        <x:v>23.04222537081528</x:v>
      </x:c>
      <x:c r="J81" s="27" t="str">
        <x:v>2017-2018</x:v>
      </x:c>
      <x:c r="K81" s="39" t="n">
        <x:v>458</x:v>
      </x:c>
      <x:c r="L81" s="45" t="n">
        <x:v>2000000</x:v>
      </x:c>
      <x:c r="M81" s="45" t="n">
        <x:v>1600000</x:v>
      </x:c>
      <x:c r="N81" s="39" t="n">
        <x:v>1188</x:v>
      </x:c>
      <x:c r="O81" s="39" t="n">
        <x:v>66</x:v>
      </x:c>
      <x:c r="P81" s="56" t="b">
        <x:v>1</x:v>
      </x:c>
      <x:c r="Q81" s="56" t="b">
        <x:v>0</x:v>
      </x:c>
      <x:c r="R81" s="56" t="b">
        <x:v>0</x:v>
      </x:c>
      <x:c r="S81" s="27" t="str">
        <x:v>sporting_24m</x:v>
      </x:c>
      <x:c r="T81" s="27" t="str">
        <x:v>fee_zero_or_unclassified_movement</x:v>
      </x:c>
    </x:row>
    <x:row r="82" ht="27" customHeight="1">
      <x:c r="A82" s="27" t="str">
        <x:v>216464_20180701_8519_368</x:v>
      </x:c>
      <x:c r="B82" s="27" t="str">
        <x:v>Carlos Fernández</x:v>
      </x:c>
      <x:c r="C82" s="27" t="str">
        <x:v>2018-07-01</x:v>
      </x:c>
      <x:c r="D82" s="27" t="str">
        <x:v>18/19</x:v>
      </x:c>
      <x:c r="E82" s="27" t="str">
        <x:v>Sevilla Atl.</x:v>
      </x:c>
      <x:c r="F82" s="27" t="str">
        <x:v>Sevilla FC</x:v>
      </x:c>
      <x:c r="G82" s="45"/>
      <x:c r="H82" s="27" t="str">
        <x:v>missing</x:v>
      </x:c>
      <x:c r="I82" s="59" t="n">
        <x:v>22.1085990814322</x:v>
      </x:c>
      <x:c r="J82" s="27" t="str">
        <x:v>2017-2018</x:v>
      </x:c>
      <x:c r="K82" s="39" t="n">
        <x:v>137</x:v>
      </x:c>
      <x:c r="L82" s="45" t="n">
        <x:v>1000000</x:v>
      </x:c>
      <x:c r="M82" s="45" t="n">
        <x:v>10000000</x:v>
      </x:c>
      <x:c r="N82" s="39" t="n">
        <x:v>0</x:v>
      </x:c>
      <x:c r="O82" s="39" t="n">
        <x:v>105</x:v>
      </x:c>
      <x:c r="P82" s="56" t="b">
        <x:v>1</x:v>
      </x:c>
      <x:c r="Q82" s="56" t="b">
        <x:v>0</x:v>
      </x:c>
      <x:c r="R82" s="56" t="b">
        <x:v>0</x:v>
      </x:c>
      <x:c r="S82" s="27" t="str">
        <x:v>sporting_24m</x:v>
      </x:c>
      <x:c r="T82" s="27" t="str">
        <x:v>fee_missing</x:v>
      </x:c>
    </x:row>
    <x:row r="83" ht="27" customHeight="1">
      <x:c r="A83" s="27" t="str">
        <x:v>581781_20180701_16664_2969</x:v>
      </x:c>
      <x:c r="B83" s="27" t="str">
        <x:v>Enzo Loiodice</x:v>
      </x:c>
      <x:c r="C83" s="27" t="str">
        <x:v>2018-07-01</x:v>
      </x:c>
      <x:c r="D83" s="27" t="str">
        <x:v>18/19</x:v>
      </x:c>
      <x:c r="E83" s="27" t="str">
        <x:v>Dijon FCO B</x:v>
      </x:c>
      <x:c r="F83" s="27" t="str">
        <x:v>Dijon</x:v>
      </x:c>
      <x:c r="G83" s="45"/>
      <x:c r="H83" s="27" t="str">
        <x:v>missing</x:v>
      </x:c>
      <x:c r="I83" s="59" t="n">
        <x:v>17.59105251990116</x:v>
      </x:c>
      <x:c r="J83" s="27" t="str">
        <x:v>2017-2018</x:v>
      </x:c>
      <x:c r="K83" s="39" t="n">
        <x:v>167</x:v>
      </x:c>
      <x:c r="L83" s="45" t="n">
        <x:v>500000</x:v>
      </x:c>
      <x:c r="M83" s="45" t="n">
        <x:v>4000000</x:v>
      </x:c>
      <x:c r="N83" s="39" t="n">
        <x:v>1041</x:v>
      </x:c>
      <x:c r="O83" s="39" t="n">
        <x:v>66</x:v>
      </x:c>
      <x:c r="P83" s="56" t="b">
        <x:v>1</x:v>
      </x:c>
      <x:c r="Q83" s="56" t="b">
        <x:v>0</x:v>
      </x:c>
      <x:c r="R83" s="56" t="b">
        <x:v>0</x:v>
      </x:c>
      <x:c r="S83" s="27" t="str">
        <x:v>sporting_24m</x:v>
      </x:c>
      <x:c r="T83" s="27" t="str">
        <x:v>fee_missing</x:v>
      </x:c>
    </x:row>
    <x:row r="84" ht="27" customHeight="1">
      <x:c r="A84" s="27" t="str">
        <x:v>56100_20180701_39_1237</x:v>
      </x:c>
      <x:c r="B84" s="27" t="str">
        <x:v>Leon Balogun</x:v>
      </x:c>
      <x:c r="C84" s="27" t="str">
        <x:v>2018-07-01</x:v>
      </x:c>
      <x:c r="D84" s="27" t="str">
        <x:v>18/19</x:v>
      </x:c>
      <x:c r="E84" s="27" t="str">
        <x:v>1.FSV Mainz 05</x:v>
      </x:c>
      <x:c r="F84" s="27" t="str">
        <x:v>Brighton</x:v>
      </x:c>
      <x:c r="G84" s="45" t="n">
        <x:v>0</x:v>
      </x:c>
      <x:c r="H84" s="27" t="str">
        <x:v>zero</x:v>
      </x:c>
      <x:c r="I84" s="59" t="n">
        <x:v>30.007460796594042</x:v>
      </x:c>
      <x:c r="J84" s="27" t="str">
        <x:v>2017-2018</x:v>
      </x:c>
      <x:c r="K84" s="39" t="n">
        <x:v>1173</x:v>
      </x:c>
      <x:c r="L84" s="45" t="n">
        <x:v>2000000</x:v>
      </x:c>
      <x:c r="M84" s="45" t="n">
        <x:v>800000</x:v>
      </x:c>
      <x:c r="N84" s="39" t="n">
        <x:v>846</x:v>
      </x:c>
      <x:c r="O84" s="39" t="n">
        <x:v>76</x:v>
      </x:c>
      <x:c r="P84" s="56" t="b">
        <x:v>1</x:v>
      </x:c>
      <x:c r="Q84" s="56" t="b">
        <x:v>0</x:v>
      </x:c>
      <x:c r="R84" s="56" t="b">
        <x:v>0</x:v>
      </x:c>
      <x:c r="S84" s="27" t="str">
        <x:v>sporting_24m</x:v>
      </x:c>
      <x:c r="T84" s="27" t="str">
        <x:v>fee_zero_or_unclassified_movement</x:v>
      </x:c>
    </x:row>
    <x:row r="85" ht="27" customHeight="1">
      <x:c r="A85" s="27" t="str">
        <x:v>236400_20180701_995_1041</x:v>
      </x:c>
      <x:c r="B85" s="27" t="str">
        <x:v>Léo Dubois</x:v>
      </x:c>
      <x:c r="C85" s="27" t="str">
        <x:v>2018-07-01</x:v>
      </x:c>
      <x:c r="D85" s="27" t="str">
        <x:v>18/19</x:v>
      </x:c>
      <x:c r="E85" s="27" t="str">
        <x:v>FC Nantes</x:v>
      </x:c>
      <x:c r="F85" s="27" t="str">
        <x:v>Lyon</x:v>
      </x:c>
      <x:c r="G85" s="45" t="n">
        <x:v>0</x:v>
      </x:c>
      <x:c r="H85" s="27" t="str">
        <x:v>zero</x:v>
      </x:c>
      <x:c r="I85" s="59" t="n">
        <x:v>23.79514979773712</x:v>
      </x:c>
      <x:c r="J85" s="27" t="str">
        <x:v>2017-2018</x:v>
      </x:c>
      <x:c r="K85" s="39" t="n">
        <x:v>3021</x:v>
      </x:c>
      <x:c r="L85" s="45" t="n">
        <x:v>10000000</x:v>
      </x:c>
      <x:c r="M85" s="45" t="n">
        <x:v>12000000</x:v>
      </x:c>
      <x:c r="N85" s="39" t="n">
        <x:v>4202</x:v>
      </x:c>
      <x:c r="O85" s="39" t="n">
        <x:v>81</x:v>
      </x:c>
      <x:c r="P85" s="56" t="b">
        <x:v>1</x:v>
      </x:c>
      <x:c r="Q85" s="56" t="b">
        <x:v>0</x:v>
      </x:c>
      <x:c r="R85" s="56" t="b">
        <x:v>0</x:v>
      </x:c>
      <x:c r="S85" s="27" t="str">
        <x:v>sporting_24m</x:v>
      </x:c>
      <x:c r="T85" s="27" t="str">
        <x:v>fee_zero_or_unclassified_movement</x:v>
      </x:c>
    </x:row>
    <x:row r="86" ht="27" customHeight="1">
      <x:c r="A86" s="27" t="str">
        <x:v>112935_20180701_533_33</x:v>
      </x:c>
      <x:c r="B86" s="27" t="str">
        <x:v>Mark Uth</x:v>
      </x:c>
      <x:c r="C86" s="27" t="str">
        <x:v>2018-07-01</x:v>
      </x:c>
      <x:c r="D86" s="27" t="str">
        <x:v>18/19</x:v>
      </x:c>
      <x:c r="E86" s="27" t="str">
        <x:v>TSG Hoffenheim</x:v>
      </x:c>
      <x:c r="F86" s="27" t="str">
        <x:v>FC Schalke 04</x:v>
      </x:c>
      <x:c r="G86" s="45" t="n">
        <x:v>0</x:v>
      </x:c>
      <x:c r="H86" s="27" t="str">
        <x:v>zero</x:v>
      </x:c>
      <x:c r="I86" s="59" t="n">
        <x:v>26.85339192454328</x:v>
      </x:c>
      <x:c r="J86" s="27" t="str">
        <x:v>2017-2018</x:v>
      </x:c>
      <x:c r="K86" s="39" t="n">
        <x:v>2177</x:v>
      </x:c>
      <x:c r="L86" s="45" t="n">
        <x:v>18000000</x:v>
      </x:c>
      <x:c r="M86" s="45" t="n">
        <x:v>7500000</x:v>
      </x:c>
      <x:c r="N86" s="39" t="n">
        <x:v>2555</x:v>
      </x:c>
      <x:c r="O86" s="39" t="n">
        <x:v>84</x:v>
      </x:c>
      <x:c r="P86" s="56" t="b">
        <x:v>1</x:v>
      </x:c>
      <x:c r="Q86" s="56" t="b">
        <x:v>0</x:v>
      </x:c>
      <x:c r="R86" s="56" t="b">
        <x:v>0</x:v>
      </x:c>
      <x:c r="S86" s="27" t="str">
        <x:v>sporting_24m</x:v>
      </x:c>
      <x:c r="T86" s="27" t="str">
        <x:v>fee_zero_or_unclassified_movement</x:v>
      </x:c>
    </x:row>
    <x:row r="87" ht="27" customHeight="1">
      <x:c r="A87" s="27" t="str">
        <x:v>284248_20180701_143_82</x:v>
      </x:c>
      <x:c r="B87" s="27" t="str">
        <x:v>Paul Jaeckel</x:v>
      </x:c>
      <x:c r="C87" s="27" t="str">
        <x:v>2018-07-01</x:v>
      </x:c>
      <x:c r="D87" s="27" t="str">
        <x:v>18/19</x:v>
      </x:c>
      <x:c r="E87" s="27" t="str">
        <x:v>Wolfsburg II</x:v>
      </x:c>
      <x:c r="F87" s="27" t="str">
        <x:v>Wolfsburg</x:v>
      </x:c>
      <x:c r="G87" s="45"/>
      <x:c r="H87" s="27" t="str">
        <x:v>missing</x:v>
      </x:c>
      <x:c r="I87" s="59" t="n">
        <x:v>19.942914638904288</x:v>
      </x:c>
      <x:c r="J87" s="27" t="str">
        <x:v>2017-2018</x:v>
      </x:c>
      <x:c r="K87" s="39" t="n">
        <x:v>270</x:v>
      </x:c>
      <x:c r="L87" s="45" t="n">
        <x:v>50000</x:v>
      </x:c>
      <x:c r="M87" s="45" t="n">
        <x:v>575000</x:v>
      </x:c>
      <x:c r="N87" s="39" t="n">
        <x:v>0</x:v>
      </x:c>
      <x:c r="O87" s="39" t="n">
        <x:v>82</x:v>
      </x:c>
      <x:c r="P87" s="56" t="b">
        <x:v>1</x:v>
      </x:c>
      <x:c r="Q87" s="56" t="b">
        <x:v>0</x:v>
      </x:c>
      <x:c r="R87" s="56" t="b">
        <x:v>0</x:v>
      </x:c>
      <x:c r="S87" s="27" t="str">
        <x:v>sporting_24m</x:v>
      </x:c>
      <x:c r="T87" s="27" t="str">
        <x:v>fee_missing</x:v>
      </x:c>
    </x:row>
    <x:row r="88" ht="27" customHeight="1">
      <x:c r="A88" s="27" t="str">
        <x:v>7825_20180701_6195_5</x:v>
      </x:c>
      <x:c r="B88" s="27" t="str">
        <x:v>Pepe Reina</x:v>
      </x:c>
      <x:c r="C88" s="27" t="str">
        <x:v>2018-07-01</x:v>
      </x:c>
      <x:c r="D88" s="27" t="str">
        <x:v>18/19</x:v>
      </x:c>
      <x:c r="E88" s="27" t="str">
        <x:v>SSC Napoli</x:v>
      </x:c>
      <x:c r="F88" s="27" t="str">
        <x:v>AC Milan</x:v>
      </x:c>
      <x:c r="G88" s="45" t="n">
        <x:v>0</x:v>
      </x:c>
      <x:c r="H88" s="27" t="str">
        <x:v>zero</x:v>
      </x:c>
      <x:c r="I88" s="59" t="n">
        <x:v>35.83372690746559</x:v>
      </x:c>
      <x:c r="J88" s="27" t="str">
        <x:v>2017-2018</x:v>
      </x:c>
      <x:c r="K88" s="39" t="n">
        <x:v>3330</x:v>
      </x:c>
      <x:c r="L88" s="45" t="n">
        <x:v>1000000</x:v>
      </x:c>
      <x:c r="M88" s="45" t="n">
        <x:v>800000</x:v>
      </x:c>
      <x:c r="N88" s="39" t="n">
        <x:v>1168</x:v>
      </x:c>
      <x:c r="O88" s="39" t="n">
        <x:v>81</x:v>
      </x:c>
      <x:c r="P88" s="56" t="b">
        <x:v>1</x:v>
      </x:c>
      <x:c r="Q88" s="56" t="b">
        <x:v>0</x:v>
      </x:c>
      <x:c r="R88" s="56" t="b">
        <x:v>0</x:v>
      </x:c>
      <x:c r="S88" s="27" t="str">
        <x:v>sporting_24m</x:v>
      </x:c>
      <x:c r="T88" s="27" t="str">
        <x:v>fee_zero_or_unclassified_movement</x:v>
      </x:c>
    </x:row>
    <x:row r="89" ht="27" customHeight="1">
      <x:c r="A89" s="27" t="str">
        <x:v>279457_20180701_9252_31</x:v>
      </x:c>
      <x:c r="B89" s="27" t="str">
        <x:v>Ryan Kent</x:v>
      </x:c>
      <x:c r="C89" s="27" t="str">
        <x:v>2018-07-01</x:v>
      </x:c>
      <x:c r="D89" s="27" t="str">
        <x:v>18/19</x:v>
      </x:c>
      <x:c r="E89" s="27" t="str">
        <x:v>Liverpool U23</x:v>
      </x:c>
      <x:c r="F89" s="27" t="str">
        <x:v>Liverpool</x:v>
      </x:c>
      <x:c r="G89" s="45"/>
      <x:c r="H89" s="27" t="str">
        <x:v>missing</x:v>
      </x:c>
      <x:c r="I89" s="59" t="n">
        <x:v>21.634941169223186</x:v>
      </x:c>
      <x:c r="J89" s="27" t="str">
        <x:v>2017-2018</x:v>
      </x:c>
      <x:c r="K89" s="39" t="n">
        <x:v>245</x:v>
      </x:c>
      <x:c r="L89" s="45" t="n">
        <x:v>1500000</x:v>
      </x:c>
      <x:c r="M89" s="45" t="n">
        <x:v>3500000</x:v>
      </x:c>
      <x:c r="N89" s="39" t="n">
        <x:v>0</x:v>
      </x:c>
      <x:c r="O89" s="39" t="n">
        <x:v>99</x:v>
      </x:c>
      <x:c r="P89" s="56" t="b">
        <x:v>1</x:v>
      </x:c>
      <x:c r="Q89" s="56" t="b">
        <x:v>0</x:v>
      </x:c>
      <x:c r="R89" s="56" t="b">
        <x:v>0</x:v>
      </x:c>
      <x:c r="S89" s="27" t="str">
        <x:v>sporting_24m</x:v>
      </x:c>
      <x:c r="T89" s="27" t="str">
        <x:v>fee_missing</x:v>
      </x:c>
    </x:row>
    <x:row r="90" ht="27" customHeight="1">
      <x:c r="A90" s="27" t="str">
        <x:v>249552_20180701_1390_3057</x:v>
      </x:c>
      <x:c r="B90" s="27" t="str">
        <x:v>Senna Miangue</x:v>
      </x:c>
      <x:c r="C90" s="27" t="str">
        <x:v>2018-07-01</x:v>
      </x:c>
      <x:c r="D90" s="27" t="str">
        <x:v>18/19</x:v>
      </x:c>
      <x:c r="E90" s="27" t="str">
        <x:v>Cagliari</x:v>
      </x:c>
      <x:c r="F90" s="27" t="str">
        <x:v>Standard Liège</x:v>
      </x:c>
      <x:c r="G90" s="45" t="n">
        <x:v>0</x:v>
      </x:c>
      <x:c r="H90" s="27" t="str">
        <x:v>zero</x:v>
      </x:c>
      <x:c r="I90" s="59" t="n">
        <x:v>21.399481166622174</x:v>
      </x:c>
      <x:c r="J90" s="27" t="str">
        <x:v>2017-2018</x:v>
      </x:c>
      <x:c r="K90" s="39" t="n">
        <x:v>805</x:v>
      </x:c>
      <x:c r="L90" s="45" t="n">
        <x:v>1500000</x:v>
      </x:c>
      <x:c r="M90" s="45" t="n">
        <x:v>800000</x:v>
      </x:c>
      <x:c r="N90" s="39" t="n">
        <x:v>212</x:v>
      </x:c>
      <x:c r="O90" s="39" t="n">
        <x:v>74</x:v>
      </x:c>
      <x:c r="P90" s="56" t="b">
        <x:v>1</x:v>
      </x:c>
      <x:c r="Q90" s="56" t="b">
        <x:v>0</x:v>
      </x:c>
      <x:c r="R90" s="56" t="b">
        <x:v>0</x:v>
      </x:c>
      <x:c r="S90" s="27" t="str">
        <x:v>sporting_24m</x:v>
      </x:c>
      <x:c r="T90" s="27" t="str">
        <x:v>fee_zero_or_unclassified_movement</x:v>
      </x:c>
    </x:row>
    <x:row r="91" ht="27" customHeight="1">
      <x:c r="A91" s="27" t="str">
        <x:v>170953_20180701_667_1420</x:v>
      </x:c>
      <x:c r="B91" s="27" t="str">
        <x:v>Stéphane Bahoken</x:v>
      </x:c>
      <x:c r="C91" s="27" t="str">
        <x:v>2018-07-01</x:v>
      </x:c>
      <x:c r="D91" s="27" t="str">
        <x:v>18/19</x:v>
      </x:c>
      <x:c r="E91" s="27" t="str">
        <x:v>R. Strasbourg</x:v>
      </x:c>
      <x:c r="F91" s="27" t="str">
        <x:v>Angers SCO</x:v>
      </x:c>
      <x:c r="G91" s="45" t="n">
        <x:v>0</x:v>
      </x:c>
      <x:c r="H91" s="27" t="str">
        <x:v>zero</x:v>
      </x:c>
      <x:c r="I91" s="59" t="n">
        <x:v>26.092253776600476</x:v>
      </x:c>
      <x:c r="J91" s="27" t="str">
        <x:v>2017-2018</x:v>
      </x:c>
      <x:c r="K91" s="39" t="n">
        <x:v>1662</x:v>
      </x:c>
      <x:c r="L91" s="45" t="n">
        <x:v>3000000</x:v>
      </x:c>
      <x:c r="M91" s="45" t="n">
        <x:v>4500000</x:v>
      </x:c>
      <x:c r="N91" s="39" t="n">
        <x:v>3400</x:v>
      </x:c>
      <x:c r="O91" s="39" t="n">
        <x:v>66</x:v>
      </x:c>
      <x:c r="P91" s="56" t="b">
        <x:v>1</x:v>
      </x:c>
      <x:c r="Q91" s="56" t="b">
        <x:v>0</x:v>
      </x:c>
      <x:c r="R91" s="56" t="b">
        <x:v>0</x:v>
      </x:c>
      <x:c r="S91" s="27" t="str">
        <x:v>sporting_24m</x:v>
      </x:c>
      <x:c r="T91" s="27" t="str">
        <x:v>fee_zero_or_unclassified_movement</x:v>
      </x:c>
    </x:row>
    <x:row r="92" ht="27" customHeight="1">
      <x:c r="A92" s="27" t="str">
        <x:v>272631_20180705_417_520</x:v>
      </x:c>
      <x:c r="B92" s="27" t="str">
        <x:v>Arnaud Lusamba</x:v>
      </x:c>
      <x:c r="C92" s="27" t="str">
        <x:v>2018-07-05</x:v>
      </x:c>
      <x:c r="D92" s="27" t="str">
        <x:v>18/19</x:v>
      </x:c>
      <x:c r="E92" s="27" t="str">
        <x:v>Nice</x:v>
      </x:c>
      <x:c r="F92" s="27" t="str">
        <x:v>Cercle Brugge</x:v>
      </x:c>
      <x:c r="G92" s="45" t="n">
        <x:v>0</x:v>
      </x:c>
      <x:c r="H92" s="27" t="str">
        <x:v>zero</x:v>
      </x:c>
      <x:c r="I92" s="59" t="n">
        <x:v>21.498045818873763</x:v>
      </x:c>
      <x:c r="J92" s="27" t="str">
        <x:v>2017-2018</x:v>
      </x:c>
      <x:c r="K92" s="39" t="n">
        <x:v>162</x:v>
      </x:c>
      <x:c r="L92" s="45" t="n">
        <x:v>2000000</x:v>
      </x:c>
      <x:c r="M92" s="45" t="n">
        <x:v>2400000</x:v>
      </x:c>
      <x:c r="N92" s="39" t="n">
        <x:v>2118</x:v>
      </x:c>
      <x:c r="O92" s="39" t="n">
        <x:v>59</x:v>
      </x:c>
      <x:c r="P92" s="56" t="b">
        <x:v>1</x:v>
      </x:c>
      <x:c r="Q92" s="56" t="b">
        <x:v>0</x:v>
      </x:c>
      <x:c r="R92" s="56" t="b">
        <x:v>0</x:v>
      </x:c>
      <x:c r="S92" s="27" t="str">
        <x:v>sporting_24m</x:v>
      </x:c>
      <x:c r="T92" s="27" t="str">
        <x:v>fee_zero_or_unclassified_movement</x:v>
      </x:c>
    </x:row>
    <x:row r="93" ht="27" customHeight="1">
      <x:c r="A93" s="27" t="str">
        <x:v>319160_20180706_410_1038</x:v>
      </x:c>
      <x:c r="B93" s="27" t="str">
        <x:v>Jakub Jankto</x:v>
      </x:c>
      <x:c r="C93" s="27" t="str">
        <x:v>2018-07-06</x:v>
      </x:c>
      <x:c r="D93" s="27" t="str">
        <x:v>18/19</x:v>
      </x:c>
      <x:c r="E93" s="27" t="str">
        <x:v>Udinese</x:v>
      </x:c>
      <x:c r="F93" s="27" t="str">
        <x:v>Sampdoria</x:v>
      </x:c>
      <x:c r="G93" s="45" t="n">
        <x:v>0</x:v>
      </x:c>
      <x:c r="H93" s="27" t="str">
        <x:v>zero</x:v>
      </x:c>
      <x:c r="I93" s="59" t="n">
        <x:v>22.461789085333717</x:v>
      </x:c>
      <x:c r="J93" s="27" t="str">
        <x:v>2017-2018</x:v>
      </x:c>
      <x:c r="K93" s="39" t="n">
        <x:v>2654</x:v>
      </x:c>
      <x:c r="L93" s="45" t="n">
        <x:v>15000000</x:v>
      </x:c>
      <x:c r="M93" s="45" t="n">
        <x:v>9500000</x:v>
      </x:c>
      <x:c r="N93" s="39" t="n">
        <x:v>2769</x:v>
      </x:c>
      <x:c r="O93" s="39" t="n">
        <x:v>72</x:v>
      </x:c>
      <x:c r="P93" s="56" t="b">
        <x:v>1</x:v>
      </x:c>
      <x:c r="Q93" s="56" t="b">
        <x:v>0</x:v>
      </x:c>
      <x:c r="R93" s="56" t="b">
        <x:v>0</x:v>
      </x:c>
      <x:c r="S93" s="27" t="str">
        <x:v>sporting_24m</x:v>
      </x:c>
      <x:c r="T93" s="27" t="str">
        <x:v>fee_zero_or_unclassified_movement</x:v>
      </x:c>
    </x:row>
    <x:row r="94" ht="27" customHeight="1">
      <x:c r="A94" s="27" t="str">
        <x:v>99254_20180709_6195_130</x:v>
      </x:c>
      <x:c r="B94" s="27" t="str">
        <x:v>Luigi Sepe</x:v>
      </x:c>
      <x:c r="C94" s="27" t="str">
        <x:v>2018-07-09</x:v>
      </x:c>
      <x:c r="D94" s="27" t="str">
        <x:v>18/19</x:v>
      </x:c>
      <x:c r="E94" s="27" t="str">
        <x:v>SSC Napoli</x:v>
      </x:c>
      <x:c r="F94" s="27" t="str">
        <x:v>Parma</x:v>
      </x:c>
      <x:c r="G94" s="45" t="n">
        <x:v>0</x:v>
      </x:c>
      <x:c r="H94" s="27" t="str">
        <x:v>zero</x:v>
      </x:c>
      <x:c r="I94" s="59" t="n">
        <x:v>27.17098913735395</x:v>
      </x:c>
      <x:c r="J94" s="27" t="str">
        <x:v>2017-2018</x:v>
      </x:c>
      <x:c r="K94" s="39" t="n">
        <x:v>90</x:v>
      </x:c>
      <x:c r="L94" s="45" t="n">
        <x:v>1000000</x:v>
      </x:c>
      <x:c r="M94" s="45" t="n">
        <x:v>6000000</x:v>
      </x:c>
      <x:c r="N94" s="39" t="n">
        <x:v>5850</x:v>
      </x:c>
      <x:c r="O94" s="39" t="n">
        <x:v>72</x:v>
      </x:c>
      <x:c r="P94" s="56" t="b">
        <x:v>1</x:v>
      </x:c>
      <x:c r="Q94" s="56" t="b">
        <x:v>0</x:v>
      </x:c>
      <x:c r="R94" s="56" t="b">
        <x:v>0</x:v>
      </x:c>
      <x:c r="S94" s="27" t="str">
        <x:v>sporting_24m</x:v>
      </x:c>
      <x:c r="T94" s="27" t="str">
        <x:v>fee_zero_or_unclassified_movement</x:v>
      </x:c>
    </x:row>
    <x:row r="95" ht="27" customHeight="1">
      <x:c r="A95" s="27" t="str">
        <x:v>44062_20180710_150_13</x:v>
      </x:c>
      <x:c r="B95" s="27" t="str">
        <x:v>Antonio Adán</x:v>
      </x:c>
      <x:c r="C95" s="27" t="str">
        <x:v>2018-07-10</x:v>
      </x:c>
      <x:c r="D95" s="27" t="str">
        <x:v>18/19</x:v>
      </x:c>
      <x:c r="E95" s="27" t="str">
        <x:v>Real Betis</x:v>
      </x:c>
      <x:c r="F95" s="27" t="str">
        <x:v>Atlético Madrid</x:v>
      </x:c>
      <x:c r="G95" s="45" t="n">
        <x:v>1500000</x:v>
      </x:c>
      <x:c r="H95" s="27" t="str">
        <x:v>positive</x:v>
      </x:c>
      <x:c r="I95" s="59" t="n">
        <x:v>31.160119646536206</x:v>
      </x:c>
      <x:c r="J95" s="27" t="str">
        <x:v>2017-2018</x:v>
      </x:c>
      <x:c r="K95" s="39" t="n">
        <x:v>2700</x:v>
      </x:c>
      <x:c r="L95" s="45" t="n">
        <x:v>5000000</x:v>
      </x:c>
      <x:c r="M95" s="45"/>
      <x:c r="N95" s="39" t="n">
        <x:v>594</x:v>
      </x:c>
      <x:c r="O95" s="39" t="n">
        <x:v>97</x:v>
      </x:c>
      <x:c r="P95" s="56" t="b">
        <x:v>1</x:v>
      </x:c>
      <x:c r="Q95" s="56" t="b">
        <x:v>0</x:v>
      </x:c>
      <x:c r="R95" s="56" t="b">
        <x:v>0</x:v>
      </x:c>
      <x:c r="S95" s="27" t="str">
        <x:v>sporting_24m</x:v>
      </x:c>
      <x:c r="T95" s="27" t="str">
        <x:v>no_post24_valuation_within_90d</x:v>
      </x:c>
    </x:row>
    <x:row r="96" ht="27" customHeight="1">
      <x:c r="A96" s="27" t="str">
        <x:v>33706_20180711_1049_336</x:v>
      </x:c>
      <x:c r="B96" s="27" t="str">
        <x:v>Nani</x:v>
      </x:c>
      <x:c r="C96" s="27" t="str">
        <x:v>2018-07-11</x:v>
      </x:c>
      <x:c r="D96" s="27" t="str">
        <x:v>18/19</x:v>
      </x:c>
      <x:c r="E96" s="27" t="str">
        <x:v>Valencia</x:v>
      </x:c>
      <x:c r="F96" s="27" t="str">
        <x:v>Sporting</x:v>
      </x:c>
      <x:c r="G96" s="45" t="n">
        <x:v>0</x:v>
      </x:c>
      <x:c r="H96" s="27" t="str">
        <x:v>zero</x:v>
      </x:c>
      <x:c r="I96" s="59" t="n">
        <x:v>31.647467093780158</x:v>
      </x:c>
      <x:c r="J96" s="27" t="str">
        <x:v>2017-2018</x:v>
      </x:c>
      <x:c r="K96" s="39" t="n">
        <x:v>387</x:v>
      </x:c>
      <x:c r="L96" s="45" t="n">
        <x:v>5000000</x:v>
      </x:c>
      <x:c r="M96" s="45" t="n">
        <x:v>3000000</x:v>
      </x:c>
      <x:c r="N96" s="39" t="n">
        <x:v>1963</x:v>
      </x:c>
      <x:c r="O96" s="39" t="n">
        <x:v>90</x:v>
      </x:c>
      <x:c r="P96" s="56" t="b">
        <x:v>1</x:v>
      </x:c>
      <x:c r="Q96" s="56" t="b">
        <x:v>0</x:v>
      </x:c>
      <x:c r="R96" s="56" t="b">
        <x:v>0</x:v>
      </x:c>
      <x:c r="S96" s="27" t="str">
        <x:v>sporting_24m</x:v>
      </x:c>
      <x:c r="T96" s="27" t="str">
        <x:v>fee_zero_or_unclassified_movement</x:v>
      </x:c>
    </x:row>
    <x:row r="97" ht="27" customHeight="1">
      <x:c r="A97" s="27" t="str">
        <x:v>199258_20180719_800_2722</x:v>
      </x:c>
      <x:c r="B97" s="27" t="str">
        <x:v>Andrea Petagna</x:v>
      </x:c>
      <x:c r="C97" s="27" t="str">
        <x:v>2018-07-19</x:v>
      </x:c>
      <x:c r="D97" s="27" t="str">
        <x:v>18/19</x:v>
      </x:c>
      <x:c r="E97" s="27" t="str">
        <x:v>Atalanta</x:v>
      </x:c>
      <x:c r="F97" s="27" t="str">
        <x:v>SPAL</x:v>
      </x:c>
      <x:c r="G97" s="45" t="n">
        <x:v>0</x:v>
      </x:c>
      <x:c r="H97" s="27" t="str">
        <x:v>zero</x:v>
      </x:c>
      <x:c r="I97" s="59" t="n">
        <x:v>23.053176998843234</x:v>
      </x:c>
      <x:c r="J97" s="27" t="str">
        <x:v>2017-2018</x:v>
      </x:c>
      <x:c r="K97" s="39" t="n">
        <x:v>1618</x:v>
      </x:c>
      <x:c r="L97" s="45" t="n">
        <x:v>9000000</x:v>
      </x:c>
      <x:c r="M97" s="45" t="n">
        <x:v>15000000</x:v>
      </x:c>
      <x:c r="N97" s="39" t="n">
        <x:v>5937</x:v>
      </x:c>
      <x:c r="O97" s="39" t="n">
        <x:v>76</x:v>
      </x:c>
      <x:c r="P97" s="56" t="b">
        <x:v>1</x:v>
      </x:c>
      <x:c r="Q97" s="56" t="b">
        <x:v>0</x:v>
      </x:c>
      <x:c r="R97" s="56" t="b">
        <x:v>0</x:v>
      </x:c>
      <x:c r="S97" s="27" t="str">
        <x:v>sporting_24m</x:v>
      </x:c>
      <x:c r="T97" s="27" t="str">
        <x:v>fee_zero_or_unclassified_movement</x:v>
      </x:c>
    </x:row>
    <x:row r="98" ht="27" customHeight="1">
      <x:c r="A98" s="27" t="str">
        <x:v>279457_20180722_31_124</x:v>
      </x:c>
      <x:c r="B98" s="27" t="str">
        <x:v>Ryan Kent</x:v>
      </x:c>
      <x:c r="C98" s="27" t="str">
        <x:v>2018-07-22</x:v>
      </x:c>
      <x:c r="D98" s="27" t="str">
        <x:v>18/19</x:v>
      </x:c>
      <x:c r="E98" s="27" t="str">
        <x:v>Liverpool</x:v>
      </x:c>
      <x:c r="F98" s="27" t="str">
        <x:v>Rangers</x:v>
      </x:c>
      <x:c r="G98" s="45" t="n">
        <x:v>0</x:v>
      </x:c>
      <x:c r="H98" s="27" t="str">
        <x:v>zero</x:v>
      </x:c>
      <x:c r="I98" s="59" t="n">
        <x:v>21.692437216369946</x:v>
      </x:c>
      <x:c r="J98" s="27" t="str">
        <x:v>2017-2018</x:v>
      </x:c>
      <x:c r="K98" s="39" t="n">
        <x:v>245</x:v>
      </x:c>
      <x:c r="L98" s="45" t="n">
        <x:v>1500000</x:v>
      </x:c>
      <x:c r="M98" s="45" t="n">
        <x:v>3500000</x:v>
      </x:c>
      <x:c r="N98" s="39" t="n">
        <x:v>5132</x:v>
      </x:c>
      <x:c r="O98" s="39" t="n">
        <x:v>99</x:v>
      </x:c>
      <x:c r="P98" s="56" t="b">
        <x:v>1</x:v>
      </x:c>
      <x:c r="Q98" s="56" t="b">
        <x:v>0</x:v>
      </x:c>
      <x:c r="R98" s="56" t="b">
        <x:v>0</x:v>
      </x:c>
      <x:c r="S98" s="27" t="str">
        <x:v>sporting_24m</x:v>
      </x:c>
      <x:c r="T98" s="27" t="str">
        <x:v>fee_zero_or_unclassified_movement</x:v>
      </x:c>
    </x:row>
    <x:row r="99" ht="27" customHeight="1">
      <x:c r="A99" s="27" t="str">
        <x:v>122797_20180724_415_969</x:v>
      </x:c>
      <x:c r="B99" s="27" t="str">
        <x:v>Andy Delort</x:v>
      </x:c>
      <x:c r="C99" s="27" t="str">
        <x:v>2018-07-24</x:v>
      </x:c>
      <x:c r="D99" s="27" t="str">
        <x:v>18/19</x:v>
      </x:c>
      <x:c r="E99" s="27" t="str">
        <x:v>Toulouse</x:v>
      </x:c>
      <x:c r="F99" s="27" t="str">
        <x:v>Montpellier</x:v>
      </x:c>
      <x:c r="G99" s="45" t="n">
        <x:v>0</x:v>
      </x:c>
      <x:c r="H99" s="27" t="str">
        <x:v>zero</x:v>
      </x:c>
      <x:c r="I99" s="59" t="n">
        <x:v>26.790420063382548</x:v>
      </x:c>
      <x:c r="J99" s="27" t="str">
        <x:v>2017-2018</x:v>
      </x:c>
      <x:c r="K99" s="39" t="n">
        <x:v>2333</x:v>
      </x:c>
      <x:c r="L99" s="45" t="n">
        <x:v>4000000</x:v>
      </x:c>
      <x:c r="M99" s="45" t="n">
        <x:v>13000000</x:v>
      </x:c>
      <x:c r="N99" s="39" t="n">
        <x:v>5419</x:v>
      </x:c>
      <x:c r="O99" s="39" t="n">
        <x:v>66</x:v>
      </x:c>
      <x:c r="P99" s="56" t="b">
        <x:v>1</x:v>
      </x:c>
      <x:c r="Q99" s="56" t="b">
        <x:v>0</x:v>
      </x:c>
      <x:c r="R99" s="56" t="b">
        <x:v>0</x:v>
      </x:c>
      <x:c r="S99" s="27" t="str">
        <x:v>sporting_24m</x:v>
      </x:c>
      <x:c r="T99" s="27" t="str">
        <x:v>fee_zero_or_unclassified_movement</x:v>
      </x:c>
    </x:row>
    <x:row r="100" ht="27" customHeight="1">
      <x:c r="A100" s="27" t="str">
        <x:v>163222_20180727_12_1038</x:v>
      </x:c>
      <x:c r="B100" s="27" t="str">
        <x:v>Grégoire Defrel</x:v>
      </x:c>
      <x:c r="C100" s="27" t="str">
        <x:v>2018-07-27</x:v>
      </x:c>
      <x:c r="D100" s="27" t="str">
        <x:v>18/19</x:v>
      </x:c>
      <x:c r="E100" s="27" t="str">
        <x:v>AS Roma</x:v>
      </x:c>
      <x:c r="F100" s="27" t="str">
        <x:v>Sampdoria</x:v>
      </x:c>
      <x:c r="G100" s="45" t="n">
        <x:v>0</x:v>
      </x:c>
      <x:c r="H100" s="27" t="str">
        <x:v>zero</x:v>
      </x:c>
      <x:c r="I100" s="59" t="n">
        <x:v>27.1107551832002</x:v>
      </x:c>
      <x:c r="J100" s="27" t="str">
        <x:v>2017-2018</x:v>
      </x:c>
      <x:c r="K100" s="39" t="n">
        <x:v>485</x:v>
      </x:c>
      <x:c r="L100" s="45" t="n">
        <x:v>10000000</x:v>
      </x:c>
      <x:c r="M100" s="45" t="n">
        <x:v>8000000</x:v>
      </x:c>
      <x:c r="N100" s="39" t="n">
        <x:v>2514</x:v>
      </x:c>
      <x:c r="O100" s="39" t="n">
        <x:v>78</x:v>
      </x:c>
      <x:c r="P100" s="56" t="b">
        <x:v>1</x:v>
      </x:c>
      <x:c r="Q100" s="56" t="b">
        <x:v>0</x:v>
      </x:c>
      <x:c r="R100" s="56" t="b">
        <x:v>0</x:v>
      </x:c>
      <x:c r="S100" s="27" t="str">
        <x:v>sporting_24m</x:v>
      </x:c>
      <x:c r="T100" s="27" t="str">
        <x:v>fee_zero_or_unclassified_movement</x:v>
      </x:c>
    </x:row>
    <x:row r="101" ht="27" customHeight="1">
      <x:c r="A101" s="27" t="str">
        <x:v>40633_20180801_430_398</x:v>
      </x:c>
      <x:c r="B101" s="27" t="str">
        <x:v>Milan Badelj</x:v>
      </x:c>
      <x:c r="C101" s="27" t="str">
        <x:v>2018-08-01</x:v>
      </x:c>
      <x:c r="D101" s="27" t="str">
        <x:v>18/19</x:v>
      </x:c>
      <x:c r="E101" s="27" t="str">
        <x:v>Fiorentina</x:v>
      </x:c>
      <x:c r="F101" s="27" t="str">
        <x:v>Lazio</x:v>
      </x:c>
      <x:c r="G101" s="45" t="n">
        <x:v>0</x:v>
      </x:c>
      <x:c r="H101" s="27" t="str">
        <x:v>zero</x:v>
      </x:c>
      <x:c r="I101" s="59" t="n">
        <x:v>29.429762418119466</x:v>
      </x:c>
      <x:c r="J101" s="27" t="str">
        <x:v>2017-2018</x:v>
      </x:c>
      <x:c r="K101" s="39" t="n">
        <x:v>2351</x:v>
      </x:c>
      <x:c r="L101" s="45" t="n">
        <x:v>15000000</x:v>
      </x:c>
      <x:c r="M101" s="45" t="n">
        <x:v>2000000</x:v>
      </x:c>
      <x:c r="N101" s="39" t="n">
        <x:v>1289</x:v>
      </x:c>
      <x:c r="O101" s="39" t="n">
        <x:v>97</x:v>
      </x:c>
      <x:c r="P101" s="56" t="b">
        <x:v>1</x:v>
      </x:c>
      <x:c r="Q101" s="56" t="b">
        <x:v>0</x:v>
      </x:c>
      <x:c r="R101" s="56" t="b">
        <x:v>0</x:v>
      </x:c>
      <x:c r="S101" s="27" t="str">
        <x:v>sporting_24m</x:v>
      </x:c>
      <x:c r="T101" s="27" t="str">
        <x:v>fee_zero_or_unclassified_movement</x:v>
      </x:c>
    </x:row>
    <x:row r="102" ht="27" customHeight="1">
      <x:c r="A102" s="27" t="str">
        <x:v>125783_20180801_273_3368</x:v>
      </x:c>
      <x:c r="B102" s="27" t="str">
        <x:v>Sanjin Prcic</x:v>
      </x:c>
      <x:c r="C102" s="27" t="str">
        <x:v>2018-08-01</x:v>
      </x:c>
      <x:c r="D102" s="27" t="str">
        <x:v>18/19</x:v>
      </x:c>
      <x:c r="E102" s="27" t="str">
        <x:v>Stade Rennais</x:v>
      </x:c>
      <x:c r="F102" s="27" t="str">
        <x:v>Levante</x:v>
      </x:c>
      <x:c r="G102" s="45" t="n">
        <x:v>0</x:v>
      </x:c>
      <x:c r="H102" s="27" t="str">
        <x:v>zero</x:v>
      </x:c>
      <x:c r="I102" s="59" t="n">
        <x:v>24.695921203036338</x:v>
      </x:c>
      <x:c r="J102" s="27" t="str">
        <x:v>2017-2018</x:v>
      </x:c>
      <x:c r="K102" s="39" t="n">
        <x:v>1565</x:v>
      </x:c>
      <x:c r="L102" s="45" t="n">
        <x:v>2500000</x:v>
      </x:c>
      <x:c r="M102" s="45" t="n">
        <x:v>2000000</x:v>
      </x:c>
      <x:c r="N102" s="39" t="n">
        <x:v>894</x:v>
      </x:c>
      <x:c r="O102" s="39" t="n">
        <x:v>83</x:v>
      </x:c>
      <x:c r="P102" s="56" t="b">
        <x:v>1</x:v>
      </x:c>
      <x:c r="Q102" s="56" t="b">
        <x:v>0</x:v>
      </x:c>
      <x:c r="R102" s="56" t="b">
        <x:v>0</x:v>
      </x:c>
      <x:c r="S102" s="27" t="str">
        <x:v>sporting_24m</x:v>
      </x:c>
      <x:c r="T102" s="27" t="str">
        <x:v>fee_zero_or_unclassified_movement</x:v>
      </x:c>
    </x:row>
    <x:row r="103" ht="27" customHeight="1">
      <x:c r="A103" s="27" t="str">
        <x:v>215118_20180807_11_931</x:v>
      </x:c>
      <x:c r="B103" s="27" t="str">
        <x:v>Calum Chambers</x:v>
      </x:c>
      <x:c r="C103" s="27" t="str">
        <x:v>2018-08-07</x:v>
      </x:c>
      <x:c r="D103" s="27" t="str">
        <x:v>18/19</x:v>
      </x:c>
      <x:c r="E103" s="27" t="str">
        <x:v>Arsenal</x:v>
      </x:c>
      <x:c r="F103" s="27" t="str">
        <x:v>Fulham</x:v>
      </x:c>
      <x:c r="G103" s="45" t="n">
        <x:v>0</x:v>
      </x:c>
      <x:c r="H103" s="27" t="str">
        <x:v>zero</x:v>
      </x:c>
      <x:c r="I103" s="59" t="n">
        <x:v>23.546000260101167</x:v>
      </x:c>
      <x:c r="J103" s="27" t="str">
        <x:v>2017-2018</x:v>
      </x:c>
      <x:c r="K103" s="39" t="n">
        <x:v>866</x:v>
      </x:c>
      <x:c r="L103" s="45" t="n">
        <x:v>14000000</x:v>
      </x:c>
      <x:c r="M103" s="45" t="n">
        <x:v>14500000</x:v>
      </x:c>
      <x:c r="N103" s="39" t="n">
        <x:v>2676</x:v>
      </x:c>
      <x:c r="O103" s="39" t="n">
        <x:v>41</x:v>
      </x:c>
      <x:c r="P103" s="56" t="b">
        <x:v>1</x:v>
      </x:c>
      <x:c r="Q103" s="56" t="b">
        <x:v>0</x:v>
      </x:c>
      <x:c r="R103" s="56" t="b">
        <x:v>0</x:v>
      </x:c>
      <x:c r="S103" s="27" t="str">
        <x:v>sporting_24m</x:v>
      </x:c>
      <x:c r="T103" s="27" t="str">
        <x:v>fee_zero_or_unclassified_movement</x:v>
      </x:c>
    </x:row>
    <x:row r="104" ht="27" customHeight="1">
      <x:c r="A104" s="28" t="str">
        <x:v>134294_20180809_31_180</x:v>
      </x:c>
      <x:c r="B104" s="28" t="str">
        <x:v>Danny Ings</x:v>
      </x:c>
      <x:c r="C104" s="28" t="str">
        <x:v>2018-08-09</x:v>
      </x:c>
      <x:c r="D104" s="28" t="str">
        <x:v>18/19</x:v>
      </x:c>
      <x:c r="E104" s="28" t="str">
        <x:v>Liverpool</x:v>
      </x:c>
      <x:c r="F104" s="28" t="str">
        <x:v>Southampton</x:v>
      </x:c>
      <x:c r="G104" s="46" t="n">
        <x:v>0</x:v>
      </x:c>
      <x:c r="H104" s="28" t="str">
        <x:v>zero</x:v>
      </x:c>
      <x:c r="I104" s="60" t="n">
        <x:v>26.045709357481673</x:v>
      </x:c>
      <x:c r="J104" s="28" t="str">
        <x:v>2017-2018</x:v>
      </x:c>
      <x:c r="K104" s="40" t="n">
        <x:v>267</x:v>
      </x:c>
      <x:c r="L104" s="46" t="n">
        <x:v>8000000</x:v>
      </x:c>
      <x:c r="M104" s="46" t="n">
        <x:v>20000000</x:v>
      </x:c>
      <x:c r="N104" s="40" t="n">
        <x:v>4660</x:v>
      </x:c>
      <x:c r="O104" s="40" t="n">
        <x:v>81</x:v>
      </x:c>
      <x:c r="P104" s="57" t="b">
        <x:v>1</x:v>
      </x:c>
      <x:c r="Q104" s="57" t="b">
        <x:v>0</x:v>
      </x:c>
      <x:c r="R104" s="57" t="b">
        <x:v>0</x:v>
      </x:c>
      <x:c r="S104" s="28" t="str">
        <x:v>sporting_24m</x:v>
      </x:c>
      <x:c r="T104" s="28" t="str">
        <x:v>fee_zero_or_unclassified_movement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8146ad79132b45f9"/>
  </x:tableParts>
</x:worksheet>
</file>